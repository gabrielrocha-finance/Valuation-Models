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f0d57526eb23c8/Desktop/Sample Análises/Vale (VALE3)/"/>
    </mc:Choice>
  </mc:AlternateContent>
  <xr:revisionPtr revIDLastSave="70" documentId="8_{9EBCA4D8-1B47-408A-A1CA-710304421281}" xr6:coauthVersionLast="47" xr6:coauthVersionMax="47" xr10:uidLastSave="{EB7A4EE7-8E73-497F-A489-80A091EEB2B5}"/>
  <bookViews>
    <workbookView xWindow="28680" yWindow="-120" windowWidth="29040" windowHeight="15720" activeTab="1" xr2:uid="{AB9618D3-F34A-4864-B194-11C8B367D243}"/>
  </bookViews>
  <sheets>
    <sheet name="Macro" sheetId="2" r:id="rId1"/>
    <sheet name="Dados Financeiros" sheetId="4" r:id="rId2"/>
    <sheet name="Dados de Apoio para Gráficos" sheetId="5" r:id="rId3"/>
    <sheet name="WACC" sheetId="6" r:id="rId4"/>
    <sheet name="Valuation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7" l="1"/>
  <c r="N18" i="7"/>
  <c r="D11" i="7"/>
  <c r="M48" i="7" l="1"/>
  <c r="L48" i="7"/>
  <c r="H52" i="7"/>
  <c r="H53" i="7" s="1"/>
  <c r="H50" i="7"/>
  <c r="H49" i="7" s="1"/>
  <c r="J48" i="7"/>
  <c r="I48" i="7" s="1"/>
  <c r="F16" i="4" l="1"/>
  <c r="G16" i="4"/>
  <c r="H16" i="4"/>
  <c r="I16" i="4"/>
  <c r="E16" i="4"/>
  <c r="F13" i="4" l="1"/>
  <c r="H67" i="5" l="1"/>
  <c r="L62" i="5"/>
  <c r="G64" i="5"/>
  <c r="H64" i="5"/>
  <c r="I64" i="5"/>
  <c r="F64" i="5"/>
  <c r="F65" i="5"/>
  <c r="F66" i="5" s="1"/>
  <c r="G65" i="5"/>
  <c r="G66" i="5" s="1"/>
  <c r="H65" i="5"/>
  <c r="H66" i="5" s="1"/>
  <c r="I65" i="5"/>
  <c r="I67" i="5" s="1"/>
  <c r="E65" i="5"/>
  <c r="G60" i="5"/>
  <c r="F61" i="5"/>
  <c r="F67" i="5" s="1"/>
  <c r="G61" i="5"/>
  <c r="G62" i="5" s="1"/>
  <c r="H61" i="5"/>
  <c r="H62" i="5" s="1"/>
  <c r="I61" i="5"/>
  <c r="E61" i="5"/>
  <c r="E67" i="5" s="1"/>
  <c r="F59" i="5"/>
  <c r="G59" i="5"/>
  <c r="H59" i="5"/>
  <c r="H60" i="5" s="1"/>
  <c r="I59" i="5"/>
  <c r="I60" i="5" s="1"/>
  <c r="E59" i="5"/>
  <c r="F60" i="5" s="1"/>
  <c r="D46" i="7"/>
  <c r="F40" i="7"/>
  <c r="G40" i="7"/>
  <c r="H40" i="7"/>
  <c r="I40" i="7"/>
  <c r="J40" i="7"/>
  <c r="E40" i="7"/>
  <c r="G38" i="7"/>
  <c r="H38" i="7"/>
  <c r="I38" i="7"/>
  <c r="J38" i="7"/>
  <c r="F38" i="7"/>
  <c r="E38" i="7"/>
  <c r="G19" i="7"/>
  <c r="H19" i="7" s="1"/>
  <c r="D18" i="7"/>
  <c r="F17" i="7"/>
  <c r="G17" i="7" s="1"/>
  <c r="H17" i="7" s="1"/>
  <c r="I17" i="7" s="1"/>
  <c r="D10" i="7"/>
  <c r="J55" i="4"/>
  <c r="K55" i="4" s="1"/>
  <c r="L55" i="4" s="1"/>
  <c r="M55" i="4" s="1"/>
  <c r="N55" i="4" s="1"/>
  <c r="O55" i="4" s="1"/>
  <c r="D8" i="7"/>
  <c r="D10" i="6"/>
  <c r="D19" i="6"/>
  <c r="D12" i="6"/>
  <c r="J8" i="6" s="1"/>
  <c r="D13" i="6"/>
  <c r="J9" i="6"/>
  <c r="K38" i="4"/>
  <c r="L38" i="4" s="1"/>
  <c r="M38" i="4" s="1"/>
  <c r="N38" i="4" s="1"/>
  <c r="O38" i="4" s="1"/>
  <c r="J38" i="4"/>
  <c r="J37" i="4"/>
  <c r="K37" i="4" s="1"/>
  <c r="L37" i="4" s="1"/>
  <c r="M37" i="4" s="1"/>
  <c r="N37" i="4" s="1"/>
  <c r="O37" i="4" s="1"/>
  <c r="J36" i="4"/>
  <c r="K36" i="4" s="1"/>
  <c r="L36" i="4" s="1"/>
  <c r="J74" i="4"/>
  <c r="K74" i="4" s="1"/>
  <c r="L74" i="4" s="1"/>
  <c r="K67" i="4"/>
  <c r="L67" i="4" s="1"/>
  <c r="J67" i="4"/>
  <c r="H102" i="4"/>
  <c r="G101" i="4"/>
  <c r="H101" i="4"/>
  <c r="I101" i="4"/>
  <c r="F101" i="4"/>
  <c r="G100" i="4"/>
  <c r="H100" i="4"/>
  <c r="I100" i="4"/>
  <c r="F100" i="4"/>
  <c r="G96" i="4"/>
  <c r="H96" i="4"/>
  <c r="I96" i="4"/>
  <c r="F96" i="4"/>
  <c r="F89" i="4"/>
  <c r="G89" i="4"/>
  <c r="H89" i="4"/>
  <c r="I89" i="4"/>
  <c r="G93" i="4"/>
  <c r="H93" i="4"/>
  <c r="I93" i="4"/>
  <c r="F93" i="4"/>
  <c r="G92" i="4"/>
  <c r="H92" i="4"/>
  <c r="I92" i="4"/>
  <c r="F92" i="4"/>
  <c r="F88" i="4"/>
  <c r="G88" i="4"/>
  <c r="H88" i="4"/>
  <c r="I88" i="4"/>
  <c r="E89" i="4"/>
  <c r="E88" i="4"/>
  <c r="F86" i="4"/>
  <c r="F102" i="4" s="1"/>
  <c r="G86" i="4"/>
  <c r="G102" i="4" s="1"/>
  <c r="H86" i="4"/>
  <c r="I86" i="4"/>
  <c r="I102" i="4" s="1"/>
  <c r="E86" i="4"/>
  <c r="J78" i="4"/>
  <c r="K78" i="4" s="1"/>
  <c r="L78" i="4" s="1"/>
  <c r="M78" i="4" s="1"/>
  <c r="N78" i="4" s="1"/>
  <c r="O78" i="4" s="1"/>
  <c r="J77" i="4"/>
  <c r="K77" i="4" s="1"/>
  <c r="L77" i="4" s="1"/>
  <c r="M77" i="4" s="1"/>
  <c r="N77" i="4" s="1"/>
  <c r="O77" i="4" s="1"/>
  <c r="J76" i="4"/>
  <c r="K76" i="4" s="1"/>
  <c r="L76" i="4" s="1"/>
  <c r="M76" i="4" s="1"/>
  <c r="N76" i="4" s="1"/>
  <c r="O76" i="4" s="1"/>
  <c r="J75" i="4"/>
  <c r="K75" i="4" s="1"/>
  <c r="L75" i="4" s="1"/>
  <c r="M75" i="4" s="1"/>
  <c r="N75" i="4" s="1"/>
  <c r="O75" i="4" s="1"/>
  <c r="J71" i="4"/>
  <c r="K71" i="4" s="1"/>
  <c r="L71" i="4" s="1"/>
  <c r="M71" i="4" s="1"/>
  <c r="N71" i="4" s="1"/>
  <c r="O71" i="4" s="1"/>
  <c r="J62" i="4"/>
  <c r="K62" i="4" s="1"/>
  <c r="L62" i="4" s="1"/>
  <c r="M62" i="4" s="1"/>
  <c r="N62" i="4" s="1"/>
  <c r="O62" i="4" s="1"/>
  <c r="J60" i="4"/>
  <c r="K60" i="4" s="1"/>
  <c r="L60" i="4" s="1"/>
  <c r="M60" i="4" s="1"/>
  <c r="N60" i="4" s="1"/>
  <c r="O60" i="4" s="1"/>
  <c r="J57" i="4"/>
  <c r="K57" i="4" s="1"/>
  <c r="L57" i="4" s="1"/>
  <c r="M57" i="4" s="1"/>
  <c r="N57" i="4" s="1"/>
  <c r="O57" i="4" s="1"/>
  <c r="G13" i="4"/>
  <c r="H13" i="4"/>
  <c r="I13" i="4"/>
  <c r="J13" i="4" s="1"/>
  <c r="F12" i="4"/>
  <c r="G12" i="4"/>
  <c r="H12" i="4"/>
  <c r="I12" i="4"/>
  <c r="J12" i="4" s="1"/>
  <c r="K12" i="4" s="1"/>
  <c r="L12" i="4" s="1"/>
  <c r="M12" i="4" s="1"/>
  <c r="N12" i="4" s="1"/>
  <c r="O12" i="4" s="1"/>
  <c r="E12" i="4"/>
  <c r="J32" i="4"/>
  <c r="K32" i="4" s="1"/>
  <c r="L32" i="4" s="1"/>
  <c r="F11" i="4"/>
  <c r="G11" i="4"/>
  <c r="H11" i="4"/>
  <c r="I11" i="4"/>
  <c r="E11" i="4"/>
  <c r="J29" i="4"/>
  <c r="K29" i="4" s="1"/>
  <c r="L29" i="4" s="1"/>
  <c r="M29" i="4" s="1"/>
  <c r="N29" i="4" s="1"/>
  <c r="O29" i="4" s="1"/>
  <c r="F10" i="4"/>
  <c r="G10" i="4"/>
  <c r="H10" i="4"/>
  <c r="I10" i="4"/>
  <c r="J10" i="4" s="1"/>
  <c r="K10" i="4" s="1"/>
  <c r="L10" i="4" s="1"/>
  <c r="M10" i="4" s="1"/>
  <c r="N10" i="4" s="1"/>
  <c r="O10" i="4" s="1"/>
  <c r="E10" i="4"/>
  <c r="F9" i="4"/>
  <c r="G9" i="4"/>
  <c r="H9" i="4"/>
  <c r="I9" i="4"/>
  <c r="E9" i="4"/>
  <c r="K7" i="4"/>
  <c r="L7" i="4"/>
  <c r="M7" i="4"/>
  <c r="N7" i="4"/>
  <c r="O7" i="4"/>
  <c r="J7" i="4"/>
  <c r="J24" i="4" s="1"/>
  <c r="J28" i="4" s="1"/>
  <c r="F12" i="5"/>
  <c r="G12" i="5"/>
  <c r="H12" i="5"/>
  <c r="I12" i="5"/>
  <c r="E12" i="5"/>
  <c r="F11" i="5"/>
  <c r="G11" i="5"/>
  <c r="H11" i="5"/>
  <c r="I11" i="5"/>
  <c r="E11" i="5"/>
  <c r="F10" i="5"/>
  <c r="G10" i="5"/>
  <c r="H10" i="5"/>
  <c r="I10" i="5"/>
  <c r="E10" i="5"/>
  <c r="F9" i="5"/>
  <c r="G9" i="5"/>
  <c r="H9" i="5"/>
  <c r="I9" i="5"/>
  <c r="E9" i="5"/>
  <c r="F8" i="5"/>
  <c r="G8" i="5"/>
  <c r="H8" i="5"/>
  <c r="I8" i="5"/>
  <c r="E8" i="5"/>
  <c r="F7" i="5"/>
  <c r="G7" i="5"/>
  <c r="H7" i="5"/>
  <c r="I7" i="5"/>
  <c r="E7" i="5"/>
  <c r="I34" i="5"/>
  <c r="H34" i="5"/>
  <c r="G34" i="5"/>
  <c r="F14" i="4"/>
  <c r="G14" i="4"/>
  <c r="H14" i="4"/>
  <c r="I14" i="4"/>
  <c r="E14" i="4"/>
  <c r="G7" i="4"/>
  <c r="H7" i="4"/>
  <c r="I7" i="4"/>
  <c r="F7" i="4"/>
  <c r="I68" i="4"/>
  <c r="H68" i="4"/>
  <c r="I72" i="4"/>
  <c r="J72" i="4" s="1"/>
  <c r="K72" i="4" s="1"/>
  <c r="L72" i="4" s="1"/>
  <c r="M72" i="4" s="1"/>
  <c r="N72" i="4" s="1"/>
  <c r="O72" i="4" s="1"/>
  <c r="H72" i="4"/>
  <c r="G72" i="4"/>
  <c r="F72" i="4"/>
  <c r="E72" i="4"/>
  <c r="I70" i="4"/>
  <c r="J70" i="4" s="1"/>
  <c r="K70" i="4" s="1"/>
  <c r="L70" i="4" s="1"/>
  <c r="M70" i="4" s="1"/>
  <c r="N70" i="4" s="1"/>
  <c r="O70" i="4" s="1"/>
  <c r="H70" i="4"/>
  <c r="G70" i="4"/>
  <c r="F70" i="4"/>
  <c r="E70" i="4"/>
  <c r="H69" i="4"/>
  <c r="G69" i="4"/>
  <c r="J69" i="4" s="1"/>
  <c r="K69" i="4" s="1"/>
  <c r="L69" i="4" s="1"/>
  <c r="M69" i="4" s="1"/>
  <c r="N69" i="4" s="1"/>
  <c r="O69" i="4" s="1"/>
  <c r="F69" i="4"/>
  <c r="E69" i="4"/>
  <c r="I61" i="4"/>
  <c r="H60" i="4"/>
  <c r="I59" i="4"/>
  <c r="H59" i="4"/>
  <c r="G59" i="4"/>
  <c r="G64" i="4" s="1"/>
  <c r="F59" i="4"/>
  <c r="E59" i="4"/>
  <c r="F57" i="4"/>
  <c r="E57" i="4"/>
  <c r="F48" i="4"/>
  <c r="G48" i="4"/>
  <c r="H48" i="4"/>
  <c r="I48" i="4"/>
  <c r="E48" i="4"/>
  <c r="E47" i="4"/>
  <c r="F47" i="4"/>
  <c r="G47" i="4"/>
  <c r="E45" i="4"/>
  <c r="F45" i="4"/>
  <c r="G45" i="4"/>
  <c r="H47" i="4"/>
  <c r="I47" i="4"/>
  <c r="H45" i="4"/>
  <c r="I45" i="4"/>
  <c r="I25" i="4"/>
  <c r="H25" i="4"/>
  <c r="G25" i="4"/>
  <c r="F25" i="4"/>
  <c r="F34" i="4"/>
  <c r="G34" i="4"/>
  <c r="H34" i="4"/>
  <c r="I34" i="4"/>
  <c r="E34" i="4"/>
  <c r="E25" i="4"/>
  <c r="L9" i="2"/>
  <c r="M9" i="2" s="1"/>
  <c r="N9" i="2" s="1"/>
  <c r="N8" i="2"/>
  <c r="M8" i="2"/>
  <c r="N7" i="2"/>
  <c r="M7" i="2"/>
  <c r="N6" i="2"/>
  <c r="M6" i="2"/>
  <c r="B4" i="2"/>
  <c r="M36" i="4" l="1"/>
  <c r="L101" i="4"/>
  <c r="K97" i="4"/>
  <c r="F26" i="4"/>
  <c r="F35" i="4" s="1"/>
  <c r="F85" i="4" s="1"/>
  <c r="F87" i="4" s="1"/>
  <c r="F18" i="4"/>
  <c r="F17" i="4"/>
  <c r="G26" i="4"/>
  <c r="G35" i="4" s="1"/>
  <c r="G85" i="4" s="1"/>
  <c r="G87" i="4" s="1"/>
  <c r="G18" i="4"/>
  <c r="G17" i="4"/>
  <c r="H26" i="4"/>
  <c r="H35" i="4" s="1"/>
  <c r="H85" i="4" s="1"/>
  <c r="H87" i="4" s="1"/>
  <c r="H18" i="4"/>
  <c r="H17" i="4"/>
  <c r="E26" i="4"/>
  <c r="E18" i="4"/>
  <c r="E17" i="4"/>
  <c r="F94" i="4"/>
  <c r="F91" i="4" s="1"/>
  <c r="I26" i="4"/>
  <c r="I35" i="4" s="1"/>
  <c r="I85" i="4" s="1"/>
  <c r="I87" i="4" s="1"/>
  <c r="I18" i="4"/>
  <c r="I17" i="4"/>
  <c r="I66" i="5"/>
  <c r="G67" i="5"/>
  <c r="F62" i="5"/>
  <c r="I62" i="5"/>
  <c r="L61" i="5"/>
  <c r="L63" i="5" s="1"/>
  <c r="E18" i="7"/>
  <c r="E20" i="7" s="1"/>
  <c r="F18" i="7"/>
  <c r="I19" i="7"/>
  <c r="H18" i="7"/>
  <c r="G18" i="7"/>
  <c r="D16" i="6"/>
  <c r="D15" i="6"/>
  <c r="J10" i="6"/>
  <c r="K101" i="4"/>
  <c r="J101" i="4"/>
  <c r="N36" i="4"/>
  <c r="M101" i="4"/>
  <c r="M74" i="4"/>
  <c r="N74" i="4"/>
  <c r="K100" i="4"/>
  <c r="L100" i="4"/>
  <c r="M67" i="4"/>
  <c r="M100" i="4" s="1"/>
  <c r="J100" i="4"/>
  <c r="O97" i="4"/>
  <c r="G98" i="4"/>
  <c r="F97" i="4"/>
  <c r="I98" i="4"/>
  <c r="L97" i="4"/>
  <c r="N97" i="4"/>
  <c r="J97" i="4"/>
  <c r="O98" i="4"/>
  <c r="J98" i="4"/>
  <c r="H97" i="4"/>
  <c r="L98" i="4"/>
  <c r="K98" i="4"/>
  <c r="M98" i="4"/>
  <c r="N98" i="4"/>
  <c r="H94" i="4"/>
  <c r="H91" i="4" s="1"/>
  <c r="F98" i="4"/>
  <c r="F95" i="4" s="1"/>
  <c r="M97" i="4"/>
  <c r="I97" i="4"/>
  <c r="H98" i="4"/>
  <c r="J68" i="4"/>
  <c r="K68" i="4" s="1"/>
  <c r="L68" i="4" s="1"/>
  <c r="M68" i="4" s="1"/>
  <c r="N68" i="4" s="1"/>
  <c r="O68" i="4" s="1"/>
  <c r="G97" i="4"/>
  <c r="I94" i="4"/>
  <c r="I91" i="4" s="1"/>
  <c r="G94" i="4"/>
  <c r="G91" i="4" s="1"/>
  <c r="J61" i="4"/>
  <c r="J59" i="4"/>
  <c r="K59" i="4"/>
  <c r="J11" i="4"/>
  <c r="J31" i="4" s="1"/>
  <c r="J16" i="4"/>
  <c r="K16" i="4" s="1"/>
  <c r="L16" i="4" s="1"/>
  <c r="M16" i="4" s="1"/>
  <c r="N16" i="4" s="1"/>
  <c r="O16" i="4" s="1"/>
  <c r="E8" i="4"/>
  <c r="M32" i="4"/>
  <c r="N32" i="4" s="1"/>
  <c r="O32" i="4" s="1"/>
  <c r="J9" i="4"/>
  <c r="J27" i="4" s="1"/>
  <c r="J14" i="4"/>
  <c r="K14" i="4" s="1"/>
  <c r="L14" i="4" s="1"/>
  <c r="M14" i="4" s="1"/>
  <c r="N14" i="4" s="1"/>
  <c r="O14" i="4" s="1"/>
  <c r="J19" i="4"/>
  <c r="J33" i="4" s="1"/>
  <c r="J88" i="4" s="1"/>
  <c r="K13" i="4"/>
  <c r="L13" i="4" s="1"/>
  <c r="M13" i="4" s="1"/>
  <c r="N13" i="4" s="1"/>
  <c r="O13" i="4" s="1"/>
  <c r="K24" i="4"/>
  <c r="G80" i="4"/>
  <c r="I80" i="4"/>
  <c r="H80" i="4"/>
  <c r="I8" i="4"/>
  <c r="H8" i="4"/>
  <c r="E64" i="4"/>
  <c r="F64" i="4"/>
  <c r="E80" i="4"/>
  <c r="F80" i="4"/>
  <c r="H64" i="4"/>
  <c r="I64" i="4"/>
  <c r="G8" i="4"/>
  <c r="F8" i="4"/>
  <c r="E35" i="4"/>
  <c r="E85" i="4" s="1"/>
  <c r="E87" i="4" s="1"/>
  <c r="D23" i="6" l="1"/>
  <c r="D9" i="7" s="1"/>
  <c r="O74" i="4"/>
  <c r="J94" i="4"/>
  <c r="H20" i="7"/>
  <c r="F20" i="7"/>
  <c r="G20" i="7"/>
  <c r="J19" i="7"/>
  <c r="J18" i="7" s="1"/>
  <c r="K18" i="7" s="1"/>
  <c r="I18" i="7"/>
  <c r="J20" i="7" s="1"/>
  <c r="D17" i="6"/>
  <c r="N101" i="4"/>
  <c r="O36" i="4"/>
  <c r="O101" i="4" s="1"/>
  <c r="N67" i="4"/>
  <c r="N100" i="4" s="1"/>
  <c r="I95" i="4"/>
  <c r="I90" i="4" s="1"/>
  <c r="I99" i="4" s="1"/>
  <c r="I103" i="4" s="1"/>
  <c r="G95" i="4"/>
  <c r="G90" i="4" s="1"/>
  <c r="G99" i="4" s="1"/>
  <c r="G103" i="4" s="1"/>
  <c r="J63" i="4"/>
  <c r="J89" i="4"/>
  <c r="H95" i="4"/>
  <c r="H90" i="4" s="1"/>
  <c r="H99" i="4" s="1"/>
  <c r="H103" i="4" s="1"/>
  <c r="F90" i="4"/>
  <c r="F99" i="4" s="1"/>
  <c r="F103" i="4" s="1"/>
  <c r="L59" i="4"/>
  <c r="K61" i="4"/>
  <c r="L61" i="4" s="1"/>
  <c r="K11" i="4"/>
  <c r="K31" i="4" s="1"/>
  <c r="J56" i="4"/>
  <c r="J92" i="4" s="1"/>
  <c r="J34" i="4"/>
  <c r="K28" i="4"/>
  <c r="K56" i="4"/>
  <c r="K9" i="4"/>
  <c r="L9" i="4" s="1"/>
  <c r="M9" i="4" s="1"/>
  <c r="N9" i="4" s="1"/>
  <c r="O9" i="4" s="1"/>
  <c r="J8" i="4"/>
  <c r="K8" i="4" s="1"/>
  <c r="L8" i="4" s="1"/>
  <c r="M8" i="4" s="1"/>
  <c r="N8" i="4" s="1"/>
  <c r="O8" i="4" s="1"/>
  <c r="J17" i="4"/>
  <c r="K17" i="4" s="1"/>
  <c r="L17" i="4" s="1"/>
  <c r="M17" i="4" s="1"/>
  <c r="N17" i="4" s="1"/>
  <c r="O17" i="4" s="1"/>
  <c r="J18" i="4"/>
  <c r="K18" i="4" s="1"/>
  <c r="L18" i="4" s="1"/>
  <c r="M18" i="4" s="1"/>
  <c r="N18" i="4" s="1"/>
  <c r="O18" i="4" s="1"/>
  <c r="L24" i="4"/>
  <c r="L56" i="4" s="1"/>
  <c r="K19" i="4"/>
  <c r="E39" i="4"/>
  <c r="H39" i="4"/>
  <c r="F39" i="4"/>
  <c r="G39" i="4"/>
  <c r="I39" i="4"/>
  <c r="K33" i="4" l="1"/>
  <c r="K88" i="4" s="1"/>
  <c r="N19" i="7"/>
  <c r="I20" i="7"/>
  <c r="O67" i="4"/>
  <c r="O100" i="4" s="1"/>
  <c r="K92" i="4"/>
  <c r="M59" i="4"/>
  <c r="N59" i="4" s="1"/>
  <c r="L94" i="4"/>
  <c r="L19" i="4"/>
  <c r="K89" i="4"/>
  <c r="L92" i="4"/>
  <c r="K94" i="4"/>
  <c r="M61" i="4"/>
  <c r="N61" i="4"/>
  <c r="K63" i="4"/>
  <c r="L11" i="4"/>
  <c r="M11" i="4" s="1"/>
  <c r="K25" i="4"/>
  <c r="K26" i="4" s="1"/>
  <c r="J25" i="4"/>
  <c r="J26" i="4" s="1"/>
  <c r="J35" i="4" s="1"/>
  <c r="K27" i="4"/>
  <c r="K34" i="4" s="1"/>
  <c r="L27" i="4"/>
  <c r="L28" i="4"/>
  <c r="M24" i="4"/>
  <c r="M56" i="4" s="1"/>
  <c r="M92" i="4" s="1"/>
  <c r="L25" i="4"/>
  <c r="G42" i="4"/>
  <c r="G49" i="4" s="1"/>
  <c r="G15" i="4"/>
  <c r="F42" i="4"/>
  <c r="F49" i="4" s="1"/>
  <c r="F15" i="4"/>
  <c r="H42" i="4"/>
  <c r="H49" i="4" s="1"/>
  <c r="H15" i="4"/>
  <c r="E42" i="4"/>
  <c r="E49" i="4" s="1"/>
  <c r="E15" i="4"/>
  <c r="I42" i="4"/>
  <c r="I49" i="4" s="1"/>
  <c r="I15" i="4"/>
  <c r="L33" i="4" l="1"/>
  <c r="L88" i="4" s="1"/>
  <c r="O61" i="4"/>
  <c r="J85" i="4"/>
  <c r="J39" i="4"/>
  <c r="O59" i="4"/>
  <c r="O94" i="4" s="1"/>
  <c r="N94" i="4"/>
  <c r="M19" i="4"/>
  <c r="L89" i="4"/>
  <c r="L63" i="4"/>
  <c r="M33" i="4" s="1"/>
  <c r="M88" i="4" s="1"/>
  <c r="M94" i="4"/>
  <c r="K58" i="4"/>
  <c r="K66" i="4"/>
  <c r="L31" i="4"/>
  <c r="L34" i="4" s="1"/>
  <c r="J66" i="4"/>
  <c r="J96" i="4" s="1"/>
  <c r="J95" i="4" s="1"/>
  <c r="J58" i="4"/>
  <c r="J93" i="4" s="1"/>
  <c r="J91" i="4" s="1"/>
  <c r="J90" i="4" s="1"/>
  <c r="K35" i="4"/>
  <c r="N11" i="4"/>
  <c r="M31" i="4"/>
  <c r="L26" i="4"/>
  <c r="L66" i="4"/>
  <c r="L58" i="4"/>
  <c r="M27" i="4"/>
  <c r="M28" i="4"/>
  <c r="N24" i="4"/>
  <c r="N56" i="4" s="1"/>
  <c r="N92" i="4" s="1"/>
  <c r="M25" i="4"/>
  <c r="M26" i="4" s="1"/>
  <c r="M63" i="4" l="1"/>
  <c r="K93" i="4"/>
  <c r="K91" i="4" s="1"/>
  <c r="L93" i="4"/>
  <c r="L91" i="4" s="1"/>
  <c r="N19" i="4"/>
  <c r="M89" i="4"/>
  <c r="J40" i="4"/>
  <c r="J86" i="4" s="1"/>
  <c r="J102" i="4" s="1"/>
  <c r="K96" i="4"/>
  <c r="K95" i="4" s="1"/>
  <c r="L96" i="4"/>
  <c r="L95" i="4" s="1"/>
  <c r="K85" i="4"/>
  <c r="K39" i="4"/>
  <c r="L35" i="4"/>
  <c r="O11" i="4"/>
  <c r="O31" i="4" s="1"/>
  <c r="N31" i="4"/>
  <c r="M34" i="4"/>
  <c r="M35" i="4" s="1"/>
  <c r="M66" i="4"/>
  <c r="M96" i="4" s="1"/>
  <c r="M95" i="4" s="1"/>
  <c r="M58" i="4"/>
  <c r="M93" i="4" s="1"/>
  <c r="M91" i="4" s="1"/>
  <c r="M90" i="4" s="1"/>
  <c r="N27" i="4"/>
  <c r="N28" i="4"/>
  <c r="O24" i="4"/>
  <c r="O56" i="4" s="1"/>
  <c r="O92" i="4" s="1"/>
  <c r="N25" i="4"/>
  <c r="N63" i="4" l="1"/>
  <c r="N33" i="4"/>
  <c r="N88" i="4" s="1"/>
  <c r="J42" i="4"/>
  <c r="J87" i="4"/>
  <c r="J99" i="4" s="1"/>
  <c r="J103" i="4" s="1"/>
  <c r="J54" i="4" s="1"/>
  <c r="K90" i="4"/>
  <c r="K40" i="4"/>
  <c r="K86" i="4" s="1"/>
  <c r="K102" i="4" s="1"/>
  <c r="M85" i="4"/>
  <c r="M39" i="4"/>
  <c r="O19" i="4"/>
  <c r="O89" i="4" s="1"/>
  <c r="N89" i="4"/>
  <c r="L85" i="4"/>
  <c r="L39" i="4"/>
  <c r="L90" i="4"/>
  <c r="N26" i="4"/>
  <c r="N58" i="4"/>
  <c r="N93" i="4" s="1"/>
  <c r="N91" i="4" s="1"/>
  <c r="N66" i="4"/>
  <c r="N96" i="4" s="1"/>
  <c r="N95" i="4" s="1"/>
  <c r="O27" i="4"/>
  <c r="O28" i="4"/>
  <c r="O25" i="4"/>
  <c r="N34" i="4" l="1"/>
  <c r="O33" i="4"/>
  <c r="O88" i="4" s="1"/>
  <c r="O63" i="4"/>
  <c r="K87" i="4"/>
  <c r="K99" i="4" s="1"/>
  <c r="K103" i="4" s="1"/>
  <c r="K54" i="4" s="1"/>
  <c r="K42" i="4"/>
  <c r="M40" i="4"/>
  <c r="M86" i="4" s="1"/>
  <c r="M102" i="4" s="1"/>
  <c r="L40" i="4"/>
  <c r="L86" i="4" s="1"/>
  <c r="L102" i="4" s="1"/>
  <c r="N90" i="4"/>
  <c r="O34" i="4"/>
  <c r="N35" i="4"/>
  <c r="O26" i="4"/>
  <c r="O58" i="4"/>
  <c r="O93" i="4" s="1"/>
  <c r="O91" i="4" s="1"/>
  <c r="O66" i="4"/>
  <c r="O96" i="4" s="1"/>
  <c r="O95" i="4" s="1"/>
  <c r="L42" i="4" l="1"/>
  <c r="L87" i="4"/>
  <c r="L99" i="4" s="1"/>
  <c r="L103" i="4" s="1"/>
  <c r="L54" i="4" s="1"/>
  <c r="M42" i="4"/>
  <c r="O90" i="4"/>
  <c r="N39" i="4"/>
  <c r="N85" i="4"/>
  <c r="M87" i="4"/>
  <c r="M99" i="4" s="1"/>
  <c r="M103" i="4" s="1"/>
  <c r="O35" i="4"/>
  <c r="N20" i="7" s="1"/>
  <c r="K36" i="7" s="1"/>
  <c r="K38" i="7" s="1"/>
  <c r="K40" i="7" l="1"/>
  <c r="D44" i="7"/>
  <c r="D47" i="7" s="1"/>
  <c r="D49" i="7" s="1"/>
  <c r="M54" i="4"/>
  <c r="O85" i="4"/>
  <c r="O39" i="4"/>
  <c r="N40" i="4"/>
  <c r="N86" i="4" s="1"/>
  <c r="N102" i="4" s="1"/>
  <c r="H48" i="7" l="1"/>
  <c r="D50" i="7"/>
  <c r="O40" i="4"/>
  <c r="O86" i="4" s="1"/>
  <c r="O102" i="4" s="1"/>
  <c r="N42" i="4"/>
  <c r="N87" i="4"/>
  <c r="N99" i="4" s="1"/>
  <c r="N103" i="4" s="1"/>
  <c r="N54" i="4" s="1"/>
  <c r="O42" i="4" l="1"/>
  <c r="O87" i="4"/>
  <c r="O99" i="4" s="1"/>
  <c r="O103" i="4" s="1"/>
  <c r="O54" i="4" s="1"/>
</calcChain>
</file>

<file path=xl/sharedStrings.xml><?xml version="1.0" encoding="utf-8"?>
<sst xmlns="http://schemas.openxmlformats.org/spreadsheetml/2006/main" count="238" uniqueCount="189">
  <si>
    <t>Macro</t>
  </si>
  <si>
    <t>IPCA</t>
  </si>
  <si>
    <t>PIB</t>
  </si>
  <si>
    <t>Selic</t>
  </si>
  <si>
    <t>Câmbio</t>
  </si>
  <si>
    <t>Projetado</t>
  </si>
  <si>
    <t>Minério de Ferro</t>
  </si>
  <si>
    <t>Minério de Ferro US$/t</t>
  </si>
  <si>
    <t>Escolher Cenário</t>
  </si>
  <si>
    <t>[2] Cenário Base</t>
  </si>
  <si>
    <t>[1] Cenário Pessimista / [2] Cenário Base / [3] Cenário Otimista</t>
  </si>
  <si>
    <t>[1] Cenário Pessimista</t>
  </si>
  <si>
    <t>[2] Cenário Otimista</t>
  </si>
  <si>
    <t>Dados Financeiros</t>
  </si>
  <si>
    <t>Premissas</t>
  </si>
  <si>
    <t>Crescimento Receita (Var. %)</t>
  </si>
  <si>
    <t>Depreciação (% Imobilizado)</t>
  </si>
  <si>
    <t>Juros (% Dívida)</t>
  </si>
  <si>
    <t>Imposto de Renda (% LAIR)</t>
  </si>
  <si>
    <t>PMR (dias)</t>
  </si>
  <si>
    <t>PME (dias)</t>
  </si>
  <si>
    <t>PMP (dias)</t>
  </si>
  <si>
    <t>Capex (R$)</t>
  </si>
  <si>
    <t>DRE</t>
  </si>
  <si>
    <t>Receita Líquida</t>
  </si>
  <si>
    <t>Pelotas de Minério de Ferro</t>
  </si>
  <si>
    <t>Outros Minerais Ferrosos</t>
  </si>
  <si>
    <t>Cobre</t>
  </si>
  <si>
    <t>Outros</t>
  </si>
  <si>
    <t>CPV</t>
  </si>
  <si>
    <t>Lucro Bruto</t>
  </si>
  <si>
    <t>Despesa com vendas e administrativas</t>
  </si>
  <si>
    <t xml:space="preserve">Pesquisa e desenvolvimento </t>
  </si>
  <si>
    <t>Pré-operacionais</t>
  </si>
  <si>
    <t>Evento Brumadinho</t>
  </si>
  <si>
    <t>Outras despesas operacionais</t>
  </si>
  <si>
    <t>Redução/reversão ao valor recuperável</t>
  </si>
  <si>
    <t>Depreciação</t>
  </si>
  <si>
    <t>Total de despesas</t>
  </si>
  <si>
    <t>EBIT</t>
  </si>
  <si>
    <t>Despesas financeiras</t>
  </si>
  <si>
    <t>Receitas financeiras</t>
  </si>
  <si>
    <t>Resultado não operacional</t>
  </si>
  <si>
    <t>LAIR</t>
  </si>
  <si>
    <t>IR</t>
  </si>
  <si>
    <t>Resultado operações descontinuadas</t>
  </si>
  <si>
    <t>Lucro Líquido</t>
  </si>
  <si>
    <t>EBITDA Ajustado</t>
  </si>
  <si>
    <t>EBIT Ajustado</t>
  </si>
  <si>
    <t>Margem Líquida</t>
  </si>
  <si>
    <t>NOPAT</t>
  </si>
  <si>
    <t>Margem EBITDA Ajustado</t>
  </si>
  <si>
    <t>Margem EBIT Ajustado</t>
  </si>
  <si>
    <t>NOPAT Ajustado</t>
  </si>
  <si>
    <t>Balanço Patrimonial</t>
  </si>
  <si>
    <t>Caixa e equivalente caixa</t>
  </si>
  <si>
    <t>Aplicações financeiras de curto prazo</t>
  </si>
  <si>
    <t>Contas a receber</t>
  </si>
  <si>
    <t>Estoques</t>
  </si>
  <si>
    <t>Tributos a recuperar</t>
  </si>
  <si>
    <t>Depositos judiciais</t>
  </si>
  <si>
    <t>Tributos diferidos</t>
  </si>
  <si>
    <t>Investimentos</t>
  </si>
  <si>
    <t>Ativo Total</t>
  </si>
  <si>
    <t>Fornecedores</t>
  </si>
  <si>
    <t>Arrendamentos</t>
  </si>
  <si>
    <t>Tributos a recolher</t>
  </si>
  <si>
    <t>REFIS</t>
  </si>
  <si>
    <t>Provisões</t>
  </si>
  <si>
    <t>Passivos relacionados a brumadinho</t>
  </si>
  <si>
    <t>Dividendos a pagar</t>
  </si>
  <si>
    <t>Empréstimos e financiamentos CP</t>
  </si>
  <si>
    <t>Empréstimos e financiamentos LP</t>
  </si>
  <si>
    <t>Debêntures participativas</t>
  </si>
  <si>
    <t>Streaming</t>
  </si>
  <si>
    <t>Patrimônio Líquido</t>
  </si>
  <si>
    <t>Total do Passivo + PL</t>
  </si>
  <si>
    <t>Aliquota de Depreciação</t>
  </si>
  <si>
    <t>Receita de vendas por área geográfica</t>
  </si>
  <si>
    <t>Américas (ex. EUA e Brasil)</t>
  </si>
  <si>
    <t>EUA</t>
  </si>
  <si>
    <t>Alemanha</t>
  </si>
  <si>
    <t>Europa (ex. Alemanha)</t>
  </si>
  <si>
    <t>Oriente Médio, África e Oceania</t>
  </si>
  <si>
    <t>Japão</t>
  </si>
  <si>
    <t>China</t>
  </si>
  <si>
    <t>Ásia (ex. Japão e China)</t>
  </si>
  <si>
    <t>Brasil</t>
  </si>
  <si>
    <t>CPV Expandido</t>
  </si>
  <si>
    <t>Receita Expandida</t>
  </si>
  <si>
    <t>Receita Outros minerais ferrosos (% Receita Líq.)</t>
  </si>
  <si>
    <t>Receita pelotas de minério de ferro (% Receita Líq.)</t>
  </si>
  <si>
    <t>Receita minério de ferro (% Receita Líq.)</t>
  </si>
  <si>
    <t>Receita Níquel e outros produtos (% Receita Líq.)</t>
  </si>
  <si>
    <t>Receita cobre (% Receita Líq.)</t>
  </si>
  <si>
    <t>Receita outros (% Receita Líq.)</t>
  </si>
  <si>
    <t>Níquel e Outros</t>
  </si>
  <si>
    <t>Pessoal</t>
  </si>
  <si>
    <t>Materiais e Serviços</t>
  </si>
  <si>
    <t>Óleo combustível e gases</t>
  </si>
  <si>
    <t>Manutenção</t>
  </si>
  <si>
    <t>Royalties</t>
  </si>
  <si>
    <t>Energia</t>
  </si>
  <si>
    <t>Aquisição de minério de terceiros</t>
  </si>
  <si>
    <t>Depreciação/Amortização</t>
  </si>
  <si>
    <t>Frete</t>
  </si>
  <si>
    <t>Total</t>
  </si>
  <si>
    <t>C1</t>
  </si>
  <si>
    <t>All-in Minério de Ferro</t>
  </si>
  <si>
    <t>All-in Níquel</t>
  </si>
  <si>
    <t>All-in Cobre</t>
  </si>
  <si>
    <t xml:space="preserve">C1 </t>
  </si>
  <si>
    <t>Custos de Produção (US$/t)</t>
  </si>
  <si>
    <t>WACC</t>
  </si>
  <si>
    <t>Custo de Capital</t>
  </si>
  <si>
    <t>D/(D+E)</t>
  </si>
  <si>
    <t>TLR</t>
  </si>
  <si>
    <t>E/(D+E)</t>
  </si>
  <si>
    <t>CPV (% Receita)</t>
  </si>
  <si>
    <t>Despesas com Vendas/Administrativas (% Receita Líq.)</t>
  </si>
  <si>
    <t>Despesas com P&amp;D (% Receita Líq.)</t>
  </si>
  <si>
    <t>Outras Receitas (Despesas) Operacionais</t>
  </si>
  <si>
    <t>Imobilizado e Intangível</t>
  </si>
  <si>
    <t>(-) IR</t>
  </si>
  <si>
    <t>(+) Depreciação e Amortização</t>
  </si>
  <si>
    <t>(-) Capex</t>
  </si>
  <si>
    <t>(+/-) Var. Capital de Giro</t>
  </si>
  <si>
    <t>(-) Variação nos ativos</t>
  </si>
  <si>
    <t>(-) Contas a receber</t>
  </si>
  <si>
    <t>(-) Estoque</t>
  </si>
  <si>
    <t>(-) Outros</t>
  </si>
  <si>
    <t>(+) Variação nos Passivos</t>
  </si>
  <si>
    <t>(+) Contas a pagar</t>
  </si>
  <si>
    <t>(+) Obrigações fiscais</t>
  </si>
  <si>
    <t>(+) Outros passivos</t>
  </si>
  <si>
    <t>FREE CASH FLOW TO FIRM</t>
  </si>
  <si>
    <t>(+) Variação no endividamento</t>
  </si>
  <si>
    <t>(-) Resultado financeiro e não operacional</t>
  </si>
  <si>
    <t>(+) Ajuste de IR não operacional</t>
  </si>
  <si>
    <t>FREE CASH FLOW TO EQUITY</t>
  </si>
  <si>
    <t>DCF</t>
  </si>
  <si>
    <t>Taxa de Desconto</t>
  </si>
  <si>
    <t>Crescimento na Perpetuidade</t>
  </si>
  <si>
    <t>Múltiplo EV/EBITDA</t>
  </si>
  <si>
    <t>Data do Valuation</t>
  </si>
  <si>
    <t>Data Final do Ano</t>
  </si>
  <si>
    <t>Preço Atual</t>
  </si>
  <si>
    <t>Ações Negociadas</t>
  </si>
  <si>
    <t>Beta</t>
  </si>
  <si>
    <t>Prêmio de risco</t>
  </si>
  <si>
    <t>CAPM</t>
  </si>
  <si>
    <t>Dívida Total</t>
  </si>
  <si>
    <t>Equity Total</t>
  </si>
  <si>
    <t>Valor de Mercado</t>
  </si>
  <si>
    <t>Market Cap</t>
  </si>
  <si>
    <t>(+) Dívida</t>
  </si>
  <si>
    <t>(-) Caixa</t>
  </si>
  <si>
    <t>EV</t>
  </si>
  <si>
    <t>D/E</t>
  </si>
  <si>
    <t>Custo do Capital Próprio</t>
  </si>
  <si>
    <t>Custo do Capital de Terceiros antes do IR</t>
  </si>
  <si>
    <t>Custo do Capital de Terceiros após o IR</t>
  </si>
  <si>
    <t>Alíquota de Juros sobre o CP</t>
  </si>
  <si>
    <t>Fluxo de Caixa Descontado</t>
  </si>
  <si>
    <t>Entrada</t>
  </si>
  <si>
    <t>Saída</t>
  </si>
  <si>
    <t>Data</t>
  </si>
  <si>
    <t>Período</t>
  </si>
  <si>
    <t>Fração do ano</t>
  </si>
  <si>
    <t>Terminal Value</t>
  </si>
  <si>
    <t>EV/EBITDA</t>
  </si>
  <si>
    <t>Gordon</t>
  </si>
  <si>
    <t>Média</t>
  </si>
  <si>
    <t>FCFF sensibilizado pelo período</t>
  </si>
  <si>
    <t>TIR FCFF</t>
  </si>
  <si>
    <t>Valor Intrínseco</t>
  </si>
  <si>
    <t>(+) Caixa</t>
  </si>
  <si>
    <t>(-) Dívida</t>
  </si>
  <si>
    <t>Equity Value</t>
  </si>
  <si>
    <t>Enterprise Value</t>
  </si>
  <si>
    <t>Equity/Ação</t>
  </si>
  <si>
    <t>Upside</t>
  </si>
  <si>
    <t>Preço Minério de Ferro</t>
  </si>
  <si>
    <t>Var.</t>
  </si>
  <si>
    <t>Qntd. Produzida</t>
  </si>
  <si>
    <t>Lucro Líquido Minério de Ferro</t>
  </si>
  <si>
    <t>FCF</t>
  </si>
  <si>
    <t>g</t>
  </si>
  <si>
    <t xml:space="preserve">Sensitivity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</si>
</sst>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#,##0;[Black]\(#,##0\)"/>
    <numFmt numFmtId="165" formatCode="#,##0;\(#,##0\)"/>
    <numFmt numFmtId="166" formatCode="0.0%"/>
    <numFmt numFmtId="167" formatCode="#,##0.0;[Black]\(#,##0.0\)"/>
    <numFmt numFmtId="168" formatCode="#,##0.00;\(#,##0.00\)"/>
    <numFmt numFmtId="169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3333FF"/>
      <name val="Aptos Narrow"/>
      <family val="2"/>
      <scheme val="minor"/>
    </font>
    <font>
      <b/>
      <sz val="11"/>
      <color rgb="FF3333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2"/>
      <color theme="1"/>
      <name val="Arial Narrow"/>
      <family val="2"/>
    </font>
    <font>
      <sz val="12"/>
      <color theme="1"/>
      <name val="Arial Narrow"/>
      <family val="2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3" fillId="0" borderId="1" xfId="0" applyFont="1" applyBorder="1"/>
    <xf numFmtId="164" fontId="6" fillId="0" borderId="2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3" fillId="0" borderId="3" xfId="0" applyFont="1" applyBorder="1"/>
    <xf numFmtId="165" fontId="8" fillId="0" borderId="3" xfId="0" applyNumberFormat="1" applyFont="1" applyBorder="1" applyAlignment="1">
      <alignment horizontal="center"/>
    </xf>
    <xf numFmtId="166" fontId="3" fillId="0" borderId="1" xfId="2" applyNumberFormat="1" applyFont="1" applyBorder="1" applyAlignment="1">
      <alignment horizontal="center"/>
    </xf>
    <xf numFmtId="166" fontId="1" fillId="0" borderId="0" xfId="2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0" fillId="0" borderId="0" xfId="0" applyNumberFormat="1"/>
    <xf numFmtId="166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9" fontId="0" fillId="0" borderId="0" xfId="2" applyFont="1" applyAlignment="1">
      <alignment horizontal="center"/>
    </xf>
    <xf numFmtId="41" fontId="0" fillId="0" borderId="0" xfId="0" applyNumberFormat="1" applyAlignment="1">
      <alignment horizontal="left"/>
    </xf>
    <xf numFmtId="4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6" fillId="0" borderId="0" xfId="0" applyNumberFormat="1" applyFont="1" applyAlignment="1">
      <alignment horizontal="center"/>
    </xf>
    <xf numFmtId="9" fontId="6" fillId="0" borderId="0" xfId="2" applyFont="1" applyAlignment="1">
      <alignment horizontal="center"/>
    </xf>
    <xf numFmtId="166" fontId="6" fillId="0" borderId="0" xfId="2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0" fontId="6" fillId="0" borderId="0" xfId="2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0" fillId="0" borderId="0" xfId="2" applyFont="1" applyAlignment="1">
      <alignment horizontal="left"/>
    </xf>
    <xf numFmtId="9" fontId="3" fillId="0" borderId="0" xfId="2" applyFont="1" applyAlignment="1">
      <alignment horizontal="left"/>
    </xf>
    <xf numFmtId="9" fontId="3" fillId="0" borderId="1" xfId="2" applyFont="1" applyBorder="1" applyAlignment="1">
      <alignment horizontal="left"/>
    </xf>
    <xf numFmtId="9" fontId="0" fillId="0" borderId="1" xfId="2" applyFon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166" fontId="9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6" fillId="0" borderId="0" xfId="2" applyNumberFormat="1" applyFont="1" applyAlignment="1">
      <alignment horizontal="center"/>
    </xf>
    <xf numFmtId="10" fontId="9" fillId="0" borderId="0" xfId="2" applyNumberFormat="1" applyFont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4" fontId="6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4" fontId="10" fillId="4" borderId="0" xfId="3" applyNumberFormat="1" applyFont="1" applyFill="1" applyBorder="1" applyProtection="1">
      <protection locked="0"/>
    </xf>
    <xf numFmtId="14" fontId="9" fillId="0" borderId="0" xfId="2" applyNumberFormat="1" applyFont="1" applyAlignment="1">
      <alignment horizontal="center"/>
    </xf>
    <xf numFmtId="0" fontId="3" fillId="0" borderId="2" xfId="0" applyFont="1" applyBorder="1" applyAlignment="1">
      <alignment horizontal="left"/>
    </xf>
    <xf numFmtId="169" fontId="11" fillId="4" borderId="0" xfId="1" applyNumberFormat="1" applyFont="1" applyFill="1" applyBorder="1"/>
    <xf numFmtId="0" fontId="0" fillId="0" borderId="4" xfId="0" applyBorder="1"/>
    <xf numFmtId="0" fontId="0" fillId="0" borderId="5" xfId="0" applyBorder="1"/>
    <xf numFmtId="2" fontId="2" fillId="5" borderId="0" xfId="0" applyNumberFormat="1" applyFont="1" applyFill="1" applyAlignment="1">
      <alignment horizontal="center"/>
    </xf>
    <xf numFmtId="0" fontId="0" fillId="0" borderId="6" xfId="0" applyBorder="1"/>
    <xf numFmtId="164" fontId="9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6" fontId="13" fillId="0" borderId="1" xfId="0" applyNumberFormat="1" applyFont="1" applyBorder="1" applyAlignment="1">
      <alignment horizontal="right"/>
    </xf>
    <xf numFmtId="166" fontId="13" fillId="6" borderId="1" xfId="0" applyNumberFormat="1" applyFont="1" applyFill="1" applyBorder="1" applyAlignment="1">
      <alignment horizontal="right"/>
    </xf>
    <xf numFmtId="166" fontId="13" fillId="0" borderId="8" xfId="0" applyNumberFormat="1" applyFont="1" applyBorder="1" applyAlignment="1">
      <alignment horizontal="right"/>
    </xf>
    <xf numFmtId="166" fontId="13" fillId="6" borderId="8" xfId="0" applyNumberFormat="1" applyFont="1" applyFill="1" applyBorder="1" applyAlignment="1">
      <alignment horizontal="right"/>
    </xf>
    <xf numFmtId="0" fontId="12" fillId="0" borderId="0" xfId="0" applyFont="1"/>
    <xf numFmtId="4" fontId="1" fillId="0" borderId="0" xfId="0" applyNumberFormat="1" applyFont="1" applyAlignment="1">
      <alignment horizontal="center"/>
    </xf>
    <xf numFmtId="4" fontId="1" fillId="0" borderId="9" xfId="0" applyNumberFormat="1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4" fontId="1" fillId="7" borderId="0" xfId="0" applyNumberFormat="1" applyFont="1" applyFill="1" applyAlignment="1">
      <alignment horizontal="center"/>
    </xf>
    <xf numFmtId="4" fontId="1" fillId="7" borderId="11" xfId="0" applyNumberFormat="1" applyFont="1" applyFill="1" applyBorder="1" applyAlignment="1">
      <alignment horizontal="center"/>
    </xf>
    <xf numFmtId="4" fontId="3" fillId="8" borderId="0" xfId="0" applyNumberFormat="1" applyFont="1" applyFill="1" applyAlignment="1">
      <alignment horizontal="center"/>
    </xf>
    <xf numFmtId="4" fontId="1" fillId="7" borderId="12" xfId="0" applyNumberFormat="1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4" fontId="1" fillId="7" borderId="14" xfId="0" applyNumberFormat="1" applyFont="1" applyFill="1" applyBorder="1" applyAlignment="1">
      <alignment horizontal="center"/>
    </xf>
    <xf numFmtId="4" fontId="1" fillId="7" borderId="15" xfId="0" applyNumberFormat="1" applyFont="1" applyFill="1" applyBorder="1" applyAlignment="1">
      <alignment horizontal="center"/>
    </xf>
    <xf numFmtId="4" fontId="9" fillId="0" borderId="7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Border="1"/>
    <xf numFmtId="166" fontId="2" fillId="5" borderId="0" xfId="2" applyNumberFormat="1" applyFont="1" applyFill="1" applyBorder="1" applyAlignment="1">
      <alignment horizontal="center"/>
    </xf>
  </cellXfs>
  <cellStyles count="4">
    <cellStyle name="Comma" xfId="1" builtinId="3"/>
    <cellStyle name="Comma 4" xfId="3" xr:uid="{7F7E03BF-B296-4A29-9507-75CDAC9D8E8E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4A8F-07EF-4A56-82F9-71FD455DDE96}">
  <dimension ref="A1:N32"/>
  <sheetViews>
    <sheetView showGridLines="0" workbookViewId="0">
      <pane ySplit="2" topLeftCell="A3" activePane="bottomLeft" state="frozen"/>
      <selection pane="bottomLeft" activeCell="R13" sqref="R13"/>
    </sheetView>
  </sheetViews>
  <sheetFormatPr defaultRowHeight="14.4" x14ac:dyDescent="0.3"/>
  <cols>
    <col min="2" max="2" width="31.6640625" customWidth="1"/>
    <col min="4" max="5" width="10.109375" bestFit="1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92" t="s">
        <v>5</v>
      </c>
      <c r="J1" s="92"/>
      <c r="K1" s="92"/>
      <c r="L1" s="92"/>
      <c r="M1" s="92"/>
      <c r="N1" s="92"/>
    </row>
    <row r="2" spans="1:14" ht="25.8" x14ac:dyDescent="0.5">
      <c r="A2" s="3" t="s">
        <v>0</v>
      </c>
      <c r="B2" s="2"/>
      <c r="C2" s="2"/>
      <c r="D2" s="4">
        <v>2020</v>
      </c>
      <c r="E2" s="4">
        <v>2021</v>
      </c>
      <c r="F2" s="4">
        <v>2022</v>
      </c>
      <c r="G2" s="4">
        <v>2023</v>
      </c>
      <c r="H2" s="4">
        <v>2024</v>
      </c>
      <c r="I2" s="5">
        <v>2025</v>
      </c>
      <c r="J2" s="5">
        <v>2026</v>
      </c>
      <c r="K2" s="5">
        <v>2027</v>
      </c>
      <c r="L2" s="5">
        <v>2028</v>
      </c>
      <c r="M2" s="5">
        <v>2029</v>
      </c>
      <c r="N2" s="5">
        <v>2030</v>
      </c>
    </row>
    <row r="4" spans="1:14" x14ac:dyDescent="0.3">
      <c r="B4" s="6" t="str">
        <f>CHOOSE($C$11,B13,B20,B27)</f>
        <v>[2] Cenário Base</v>
      </c>
    </row>
    <row r="5" spans="1:14" x14ac:dyDescent="0.3">
      <c r="B5" t="s">
        <v>1</v>
      </c>
      <c r="D5" s="7">
        <v>4.5199999999999997E-2</v>
      </c>
      <c r="E5" s="7">
        <v>0.10059999999999999</v>
      </c>
      <c r="F5" s="7">
        <v>5.79E-2</v>
      </c>
      <c r="G5" s="7">
        <v>4.6199999999999998E-2</v>
      </c>
      <c r="H5" s="7">
        <v>4.8300000000000003E-2</v>
      </c>
      <c r="I5" s="10">
        <v>5.5E-2</v>
      </c>
      <c r="J5" s="10">
        <v>4.4999999999999998E-2</v>
      </c>
      <c r="K5" s="10">
        <v>0.04</v>
      </c>
      <c r="L5" s="10">
        <v>3.7999999999999999E-2</v>
      </c>
      <c r="M5" s="10">
        <v>0.04</v>
      </c>
      <c r="N5" s="10">
        <v>0.04</v>
      </c>
    </row>
    <row r="6" spans="1:14" x14ac:dyDescent="0.3">
      <c r="B6" t="s">
        <v>3</v>
      </c>
      <c r="D6" s="7">
        <v>0.02</v>
      </c>
      <c r="E6" s="7">
        <v>4.4200000000000003E-2</v>
      </c>
      <c r="F6" s="7">
        <v>0.1239</v>
      </c>
      <c r="G6" s="7">
        <v>0.13039999999999999</v>
      </c>
      <c r="H6" s="7">
        <v>0.10879999999999999</v>
      </c>
      <c r="I6" s="10">
        <v>0.14749999999999999</v>
      </c>
      <c r="J6" s="10">
        <v>0.125</v>
      </c>
      <c r="K6" s="10">
        <v>0.105</v>
      </c>
      <c r="L6" s="10">
        <v>0.1</v>
      </c>
      <c r="M6" s="10">
        <f t="shared" ref="M6:N9" si="0">L6</f>
        <v>0.1</v>
      </c>
      <c r="N6" s="10">
        <f t="shared" si="0"/>
        <v>0.1</v>
      </c>
    </row>
    <row r="7" spans="1:14" x14ac:dyDescent="0.3">
      <c r="B7" t="s">
        <v>2</v>
      </c>
      <c r="D7" s="7">
        <v>-3.3000000000000002E-2</v>
      </c>
      <c r="E7" s="7">
        <v>4.8000000000000001E-2</v>
      </c>
      <c r="F7" s="7">
        <v>0.03</v>
      </c>
      <c r="G7" s="7">
        <v>3.2000000000000001E-2</v>
      </c>
      <c r="H7" s="7">
        <v>3.4000000000000002E-2</v>
      </c>
      <c r="I7" s="10">
        <v>2.0199999999999999E-2</v>
      </c>
      <c r="J7" s="10">
        <v>1.7000000000000001E-2</v>
      </c>
      <c r="K7" s="10">
        <v>0.02</v>
      </c>
      <c r="L7" s="10">
        <v>0.02</v>
      </c>
      <c r="M7" s="10">
        <f t="shared" si="0"/>
        <v>0.02</v>
      </c>
      <c r="N7" s="10">
        <f t="shared" si="0"/>
        <v>0.02</v>
      </c>
    </row>
    <row r="8" spans="1:14" x14ac:dyDescent="0.3">
      <c r="B8" t="s">
        <v>4</v>
      </c>
      <c r="D8" s="8">
        <v>5.22</v>
      </c>
      <c r="E8" s="8">
        <v>5.67</v>
      </c>
      <c r="F8" s="8">
        <v>5.29</v>
      </c>
      <c r="G8" s="8">
        <v>4.84</v>
      </c>
      <c r="H8" s="8">
        <v>6.19</v>
      </c>
      <c r="I8" s="13">
        <v>5.82</v>
      </c>
      <c r="J8" s="13">
        <v>5.9</v>
      </c>
      <c r="K8" s="13">
        <v>5.8</v>
      </c>
      <c r="L8" s="13">
        <v>5.85</v>
      </c>
      <c r="M8" s="13">
        <f t="shared" si="0"/>
        <v>5.85</v>
      </c>
      <c r="N8" s="13">
        <f t="shared" si="0"/>
        <v>5.85</v>
      </c>
    </row>
    <row r="9" spans="1:14" x14ac:dyDescent="0.3">
      <c r="B9" s="11" t="s">
        <v>7</v>
      </c>
      <c r="C9" s="11"/>
      <c r="D9" s="12">
        <v>155.6</v>
      </c>
      <c r="E9" s="12">
        <v>121.05</v>
      </c>
      <c r="F9" s="12">
        <v>127.85</v>
      </c>
      <c r="G9" s="12">
        <v>131.05000000000001</v>
      </c>
      <c r="H9" s="12">
        <v>106.25</v>
      </c>
      <c r="I9" s="14">
        <v>100</v>
      </c>
      <c r="J9" s="14">
        <v>95</v>
      </c>
      <c r="K9" s="14">
        <v>90</v>
      </c>
      <c r="L9" s="14">
        <f>AVERAGE(I9:K9)</f>
        <v>95</v>
      </c>
      <c r="M9" s="14">
        <f t="shared" si="0"/>
        <v>95</v>
      </c>
      <c r="N9" s="14">
        <f t="shared" si="0"/>
        <v>95</v>
      </c>
    </row>
    <row r="11" spans="1:14" x14ac:dyDescent="0.3">
      <c r="B11" t="s">
        <v>8</v>
      </c>
      <c r="C11">
        <v>2</v>
      </c>
      <c r="E11" t="s">
        <v>10</v>
      </c>
    </row>
    <row r="13" spans="1:14" x14ac:dyDescent="0.3">
      <c r="B13" s="6" t="s">
        <v>11</v>
      </c>
    </row>
    <row r="14" spans="1:14" x14ac:dyDescent="0.3">
      <c r="B14" t="s">
        <v>1</v>
      </c>
      <c r="D14" s="7">
        <v>4.5199999999999997E-2</v>
      </c>
      <c r="E14" s="7">
        <v>0.10059999999999999</v>
      </c>
      <c r="F14" s="7">
        <v>5.79E-2</v>
      </c>
      <c r="G14" s="7">
        <v>4.6199999999999998E-2</v>
      </c>
      <c r="H14" s="7">
        <v>4.8300000000000003E-2</v>
      </c>
    </row>
    <row r="15" spans="1:14" x14ac:dyDescent="0.3">
      <c r="B15" t="s">
        <v>3</v>
      </c>
      <c r="D15" s="7">
        <v>0.02</v>
      </c>
      <c r="E15" s="7">
        <v>4.4200000000000003E-2</v>
      </c>
      <c r="F15" s="7">
        <v>0.1239</v>
      </c>
      <c r="G15" s="7">
        <v>0.13039999999999999</v>
      </c>
      <c r="H15" s="7">
        <v>0.10879999999999999</v>
      </c>
    </row>
    <row r="16" spans="1:14" x14ac:dyDescent="0.3">
      <c r="B16" t="s">
        <v>2</v>
      </c>
      <c r="D16" s="7">
        <v>-3.3000000000000002E-2</v>
      </c>
      <c r="E16" s="7">
        <v>4.8000000000000001E-2</v>
      </c>
      <c r="F16" s="7">
        <v>0.03</v>
      </c>
      <c r="G16" s="7">
        <v>3.2000000000000001E-2</v>
      </c>
      <c r="H16" s="7">
        <v>3.4000000000000002E-2</v>
      </c>
    </row>
    <row r="17" spans="2:14" x14ac:dyDescent="0.3">
      <c r="B17" t="s">
        <v>4</v>
      </c>
      <c r="D17" s="8">
        <v>5.22</v>
      </c>
      <c r="E17" s="8">
        <v>5.67</v>
      </c>
      <c r="F17" s="8">
        <v>5.29</v>
      </c>
      <c r="G17" s="8">
        <v>4.84</v>
      </c>
      <c r="H17" s="8">
        <v>6.19</v>
      </c>
    </row>
    <row r="18" spans="2:14" x14ac:dyDescent="0.3">
      <c r="B18" s="11" t="s">
        <v>7</v>
      </c>
      <c r="C18" s="11"/>
      <c r="D18" s="12">
        <v>155.6</v>
      </c>
      <c r="E18" s="12">
        <v>121.05</v>
      </c>
      <c r="F18" s="12">
        <v>127.85</v>
      </c>
      <c r="G18" s="12">
        <v>131.05000000000001</v>
      </c>
      <c r="H18" s="12">
        <v>106.25</v>
      </c>
      <c r="I18" s="11"/>
      <c r="J18" s="11"/>
      <c r="K18" s="11"/>
      <c r="L18" s="11"/>
      <c r="M18" s="11"/>
      <c r="N18" s="11"/>
    </row>
    <row r="20" spans="2:14" x14ac:dyDescent="0.3">
      <c r="B20" s="6" t="s">
        <v>9</v>
      </c>
    </row>
    <row r="21" spans="2:14" x14ac:dyDescent="0.3">
      <c r="B21" t="s">
        <v>1</v>
      </c>
      <c r="D21" s="7">
        <v>4.5199999999999997E-2</v>
      </c>
      <c r="E21" s="7">
        <v>0.10059999999999999</v>
      </c>
      <c r="F21" s="7">
        <v>5.79E-2</v>
      </c>
      <c r="G21" s="7">
        <v>4.6199999999999998E-2</v>
      </c>
      <c r="H21" s="7">
        <v>4.8300000000000003E-2</v>
      </c>
      <c r="I21" s="7"/>
    </row>
    <row r="22" spans="2:14" x14ac:dyDescent="0.3">
      <c r="B22" t="s">
        <v>3</v>
      </c>
      <c r="D22" s="7">
        <v>0.02</v>
      </c>
      <c r="E22" s="7">
        <v>4.4200000000000003E-2</v>
      </c>
      <c r="F22" s="7">
        <v>0.1239</v>
      </c>
      <c r="G22" s="7">
        <v>0.13039999999999999</v>
      </c>
      <c r="H22" s="7">
        <v>0.10879999999999999</v>
      </c>
    </row>
    <row r="23" spans="2:14" x14ac:dyDescent="0.3">
      <c r="B23" t="s">
        <v>2</v>
      </c>
      <c r="D23" s="7">
        <v>-3.3000000000000002E-2</v>
      </c>
      <c r="E23" s="7">
        <v>4.8000000000000001E-2</v>
      </c>
      <c r="F23" s="7">
        <v>0.03</v>
      </c>
      <c r="G23" s="7">
        <v>3.2000000000000001E-2</v>
      </c>
      <c r="H23" s="7">
        <v>3.4000000000000002E-2</v>
      </c>
    </row>
    <row r="24" spans="2:14" x14ac:dyDescent="0.3">
      <c r="B24" t="s">
        <v>4</v>
      </c>
      <c r="D24" s="8">
        <v>5.22</v>
      </c>
      <c r="E24" s="8">
        <v>5.67</v>
      </c>
      <c r="F24" s="8">
        <v>5.29</v>
      </c>
      <c r="G24" s="8">
        <v>4.84</v>
      </c>
      <c r="H24" s="8">
        <v>6.19</v>
      </c>
    </row>
    <row r="25" spans="2:14" x14ac:dyDescent="0.3">
      <c r="B25" s="11" t="s">
        <v>7</v>
      </c>
      <c r="C25" s="11"/>
      <c r="D25" s="12">
        <v>155.6</v>
      </c>
      <c r="E25" s="12">
        <v>121.05</v>
      </c>
      <c r="F25" s="12">
        <v>127.85</v>
      </c>
      <c r="G25" s="12">
        <v>131.05000000000001</v>
      </c>
      <c r="H25" s="12">
        <v>106.25</v>
      </c>
      <c r="I25" s="11"/>
      <c r="J25" s="11"/>
      <c r="K25" s="11"/>
      <c r="L25" s="11"/>
      <c r="M25" s="11"/>
      <c r="N25" s="11"/>
    </row>
    <row r="27" spans="2:14" x14ac:dyDescent="0.3">
      <c r="B27" s="6" t="s">
        <v>12</v>
      </c>
    </row>
    <row r="28" spans="2:14" x14ac:dyDescent="0.3">
      <c r="B28" t="s">
        <v>1</v>
      </c>
      <c r="D28" s="7">
        <v>4.5199999999999997E-2</v>
      </c>
      <c r="E28" s="7">
        <v>0.10059999999999999</v>
      </c>
      <c r="F28" s="7">
        <v>5.79E-2</v>
      </c>
      <c r="G28" s="7">
        <v>4.6199999999999998E-2</v>
      </c>
      <c r="H28" s="7">
        <v>4.8300000000000003E-2</v>
      </c>
    </row>
    <row r="29" spans="2:14" x14ac:dyDescent="0.3">
      <c r="B29" t="s">
        <v>3</v>
      </c>
      <c r="D29" s="7">
        <v>0.02</v>
      </c>
      <c r="E29" s="7">
        <v>4.4200000000000003E-2</v>
      </c>
      <c r="F29" s="7">
        <v>0.1239</v>
      </c>
      <c r="G29" s="7">
        <v>0.13039999999999999</v>
      </c>
      <c r="H29" s="7">
        <v>0.10879999999999999</v>
      </c>
    </row>
    <row r="30" spans="2:14" x14ac:dyDescent="0.3">
      <c r="B30" t="s">
        <v>2</v>
      </c>
      <c r="D30" s="7">
        <v>-3.3000000000000002E-2</v>
      </c>
      <c r="E30" s="7">
        <v>4.8000000000000001E-2</v>
      </c>
      <c r="F30" s="7">
        <v>0.03</v>
      </c>
      <c r="G30" s="7">
        <v>3.2000000000000001E-2</v>
      </c>
      <c r="H30" s="7">
        <v>3.4000000000000002E-2</v>
      </c>
    </row>
    <row r="31" spans="2:14" x14ac:dyDescent="0.3">
      <c r="B31" t="s">
        <v>4</v>
      </c>
      <c r="D31" s="8">
        <v>5.22</v>
      </c>
      <c r="E31" s="8">
        <v>5.67</v>
      </c>
      <c r="F31" s="8">
        <v>5.29</v>
      </c>
      <c r="G31" s="8">
        <v>4.84</v>
      </c>
      <c r="H31" s="8">
        <v>6.19</v>
      </c>
    </row>
    <row r="32" spans="2:14" x14ac:dyDescent="0.3">
      <c r="B32" s="11" t="s">
        <v>7</v>
      </c>
      <c r="C32" s="11"/>
      <c r="D32" s="12">
        <v>155.6</v>
      </c>
      <c r="E32" s="12">
        <v>121.05</v>
      </c>
      <c r="F32" s="12">
        <v>127.85</v>
      </c>
      <c r="G32" s="12">
        <v>131.05000000000001</v>
      </c>
      <c r="H32" s="12">
        <v>106.25</v>
      </c>
      <c r="I32" s="11"/>
      <c r="J32" s="11"/>
      <c r="K32" s="11"/>
      <c r="L32" s="11"/>
      <c r="M32" s="11"/>
      <c r="N32" s="11"/>
    </row>
  </sheetData>
  <mergeCells count="1">
    <mergeCell ref="I1:N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BA3F-9BF1-4622-B3A4-1B4DE86E0D7D}">
  <dimension ref="A1:R104"/>
  <sheetViews>
    <sheetView showGridLines="0" tabSelected="1" workbookViewId="0">
      <pane ySplit="2" topLeftCell="A3" activePane="bottomLeft" state="frozen"/>
      <selection pane="bottomLeft" activeCell="O35" sqref="O35"/>
    </sheetView>
  </sheetViews>
  <sheetFormatPr defaultRowHeight="14.4" x14ac:dyDescent="0.3"/>
  <cols>
    <col min="1" max="1" width="3.88671875" customWidth="1"/>
    <col min="3" max="3" width="31.6640625" customWidth="1"/>
    <col min="5" max="5" width="10.5546875" bestFit="1" customWidth="1"/>
    <col min="6" max="6" width="10.109375" bestFit="1" customWidth="1"/>
    <col min="10" max="11" width="9.33203125" bestFit="1" customWidth="1"/>
  </cols>
  <sheetData>
    <row r="1" spans="1:18" ht="18" x14ac:dyDescent="0.35">
      <c r="A1" s="2"/>
      <c r="B1" s="2"/>
      <c r="C1" s="2"/>
      <c r="D1" s="2"/>
      <c r="E1" s="2"/>
      <c r="F1" s="2"/>
      <c r="G1" s="2"/>
      <c r="H1" s="2"/>
      <c r="I1" s="2"/>
      <c r="J1" s="93" t="s">
        <v>5</v>
      </c>
      <c r="K1" s="93"/>
      <c r="L1" s="93"/>
      <c r="M1" s="93"/>
      <c r="N1" s="93"/>
      <c r="O1" s="93"/>
    </row>
    <row r="2" spans="1:18" ht="25.8" x14ac:dyDescent="0.5">
      <c r="A2" s="2"/>
      <c r="B2" s="3" t="s">
        <v>13</v>
      </c>
      <c r="C2" s="2"/>
      <c r="D2" s="2"/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  <c r="J2" s="17">
        <v>2025</v>
      </c>
      <c r="K2" s="17">
        <v>2026</v>
      </c>
      <c r="L2" s="17">
        <v>2027</v>
      </c>
      <c r="M2" s="17">
        <v>2028</v>
      </c>
      <c r="N2" s="17">
        <v>2029</v>
      </c>
      <c r="O2" s="17">
        <v>2030</v>
      </c>
    </row>
    <row r="5" spans="1:18" ht="25.8" x14ac:dyDescent="0.5">
      <c r="B5" s="15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18" x14ac:dyDescent="0.3">
      <c r="B7" t="s">
        <v>15</v>
      </c>
      <c r="F7" s="37">
        <f>F24/E24-1</f>
        <v>0.42419625614998679</v>
      </c>
      <c r="G7" s="37">
        <f t="shared" ref="G7:I7" si="0">G24/F24-1</f>
        <v>-0.22831523146318533</v>
      </c>
      <c r="H7" s="37">
        <f t="shared" si="0"/>
        <v>-8.1418757836367761E-2</v>
      </c>
      <c r="I7" s="37">
        <f t="shared" si="0"/>
        <v>-9.9055107513962293E-3</v>
      </c>
      <c r="J7" s="44">
        <f>Macro!I5</f>
        <v>5.5E-2</v>
      </c>
      <c r="K7" s="44">
        <f>Macro!J5</f>
        <v>4.4999999999999998E-2</v>
      </c>
      <c r="L7" s="44">
        <f>Macro!K5</f>
        <v>0.04</v>
      </c>
      <c r="M7" s="44">
        <f>Macro!L5</f>
        <v>3.7999999999999999E-2</v>
      </c>
      <c r="N7" s="44">
        <f>Macro!M5</f>
        <v>0.04</v>
      </c>
      <c r="O7" s="44">
        <f>Macro!N5</f>
        <v>0.04</v>
      </c>
    </row>
    <row r="8" spans="1:18" x14ac:dyDescent="0.3">
      <c r="B8" t="s">
        <v>118</v>
      </c>
      <c r="E8" s="37">
        <f>-E25/E24</f>
        <v>0.36076041494822852</v>
      </c>
      <c r="F8" s="37">
        <f t="shared" ref="F8:I8" si="1">-F25/F24</f>
        <v>0.34371295021872145</v>
      </c>
      <c r="G8" s="37">
        <f t="shared" si="1"/>
        <v>0.47599201794197116</v>
      </c>
      <c r="H8" s="37">
        <f t="shared" si="1"/>
        <v>0.50328261224803672</v>
      </c>
      <c r="I8" s="37">
        <f t="shared" si="1"/>
        <v>0.55723404771728846</v>
      </c>
      <c r="J8" s="43">
        <f>AVERAGE(G8:I8)</f>
        <v>0.51216955930243213</v>
      </c>
      <c r="K8" s="43">
        <f>J8</f>
        <v>0.51216955930243213</v>
      </c>
      <c r="L8" s="43">
        <f t="shared" ref="L8:O8" si="2">K8</f>
        <v>0.51216955930243213</v>
      </c>
      <c r="M8" s="43">
        <f t="shared" si="2"/>
        <v>0.51216955930243213</v>
      </c>
      <c r="N8" s="43">
        <f t="shared" si="2"/>
        <v>0.51216955930243213</v>
      </c>
      <c r="O8" s="43">
        <f t="shared" si="2"/>
        <v>0.51216955930243213</v>
      </c>
    </row>
    <row r="9" spans="1:18" x14ac:dyDescent="0.3">
      <c r="B9" t="s">
        <v>119</v>
      </c>
      <c r="E9" s="37">
        <f>-E27/E24</f>
        <v>1.2270861434851382E-2</v>
      </c>
      <c r="F9" s="37">
        <f t="shared" ref="F9:I9" si="3">-F27/F24</f>
        <v>8.8612856188931746E-3</v>
      </c>
      <c r="G9" s="37">
        <f t="shared" si="3"/>
        <v>1.1734684867642644E-2</v>
      </c>
      <c r="H9" s="37">
        <f t="shared" si="3"/>
        <v>1.3255409341266714E-2</v>
      </c>
      <c r="I9" s="37">
        <f t="shared" si="3"/>
        <v>1.648989102206257E-2</v>
      </c>
      <c r="J9" s="43">
        <f>AVERAGE(E9:I9)</f>
        <v>1.2522426456943297E-2</v>
      </c>
      <c r="K9" s="43">
        <f>J9</f>
        <v>1.2522426456943297E-2</v>
      </c>
      <c r="L9" s="43">
        <f t="shared" ref="L9:O9" si="4">K9</f>
        <v>1.2522426456943297E-2</v>
      </c>
      <c r="M9" s="43">
        <f t="shared" si="4"/>
        <v>1.2522426456943297E-2</v>
      </c>
      <c r="N9" s="43">
        <f t="shared" si="4"/>
        <v>1.2522426456943297E-2</v>
      </c>
      <c r="O9" s="43">
        <f t="shared" si="4"/>
        <v>1.2522426456943297E-2</v>
      </c>
    </row>
    <row r="10" spans="1:18" x14ac:dyDescent="0.3">
      <c r="B10" t="s">
        <v>120</v>
      </c>
      <c r="E10" s="37">
        <f>-E28/E24</f>
        <v>1.0436782501528399E-2</v>
      </c>
      <c r="F10" s="37">
        <f t="shared" ref="F10:I10" si="5">-F28/F24</f>
        <v>1.0097981766397297E-2</v>
      </c>
      <c r="G10" s="37">
        <f t="shared" si="5"/>
        <v>1.5059070761297614E-2</v>
      </c>
      <c r="H10" s="37">
        <f t="shared" si="5"/>
        <v>1.7292589851297186E-2</v>
      </c>
      <c r="I10" s="37">
        <f t="shared" si="5"/>
        <v>2.0907259532535617E-2</v>
      </c>
      <c r="J10" s="43">
        <f>I10</f>
        <v>2.0907259532535617E-2</v>
      </c>
      <c r="K10" s="43">
        <f t="shared" ref="K10:O10" si="6">J10</f>
        <v>2.0907259532535617E-2</v>
      </c>
      <c r="L10" s="43">
        <f t="shared" si="6"/>
        <v>2.0907259532535617E-2</v>
      </c>
      <c r="M10" s="43">
        <f t="shared" si="6"/>
        <v>2.0907259532535617E-2</v>
      </c>
      <c r="N10" s="43">
        <f t="shared" si="6"/>
        <v>2.0907259532535617E-2</v>
      </c>
      <c r="O10" s="43">
        <f t="shared" si="6"/>
        <v>2.0907259532535617E-2</v>
      </c>
    </row>
    <row r="11" spans="1:18" x14ac:dyDescent="0.3">
      <c r="B11" t="s">
        <v>121</v>
      </c>
      <c r="E11" s="26">
        <f>E31</f>
        <v>-4202</v>
      </c>
      <c r="F11" s="26">
        <f t="shared" ref="F11:I11" si="7">F31</f>
        <v>-2212</v>
      </c>
      <c r="G11" s="26">
        <f t="shared" si="7"/>
        <v>-8901</v>
      </c>
      <c r="H11" s="26">
        <f t="shared" si="7"/>
        <v>-7422</v>
      </c>
      <c r="I11" s="26">
        <f t="shared" si="7"/>
        <v>-8275</v>
      </c>
      <c r="J11" s="22">
        <f>AVERAGE(E11:I11)</f>
        <v>-6202.4</v>
      </c>
      <c r="K11" s="22">
        <f>J11</f>
        <v>-6202.4</v>
      </c>
      <c r="L11" s="22">
        <f t="shared" ref="L11:O11" si="8">K11</f>
        <v>-6202.4</v>
      </c>
      <c r="M11" s="22">
        <f t="shared" si="8"/>
        <v>-6202.4</v>
      </c>
      <c r="N11" s="22">
        <f t="shared" si="8"/>
        <v>-6202.4</v>
      </c>
      <c r="O11" s="22">
        <f t="shared" si="8"/>
        <v>-6202.4</v>
      </c>
    </row>
    <row r="12" spans="1:18" x14ac:dyDescent="0.3">
      <c r="B12" t="s">
        <v>16</v>
      </c>
      <c r="E12" s="37">
        <f>-E33/E63</f>
        <v>6.3312289000362398E-2</v>
      </c>
      <c r="F12" s="37">
        <f t="shared" ref="F12:I12" si="9">-F33/F63</f>
        <v>5.7615325627370005E-2</v>
      </c>
      <c r="G12" s="37">
        <f t="shared" si="9"/>
        <v>5.6892664983170832E-2</v>
      </c>
      <c r="H12" s="37">
        <f t="shared" si="9"/>
        <v>5.2647697437467958E-2</v>
      </c>
      <c r="I12" s="37">
        <f t="shared" si="9"/>
        <v>5.2846347445946421E-2</v>
      </c>
      <c r="J12" s="43">
        <f>I12</f>
        <v>5.2846347445946421E-2</v>
      </c>
      <c r="K12" s="43">
        <f t="shared" ref="K12:O12" si="10">J12</f>
        <v>5.2846347445946421E-2</v>
      </c>
      <c r="L12" s="43">
        <f t="shared" si="10"/>
        <v>5.2846347445946421E-2</v>
      </c>
      <c r="M12" s="43">
        <f t="shared" si="10"/>
        <v>5.2846347445946421E-2</v>
      </c>
      <c r="N12" s="43">
        <f t="shared" si="10"/>
        <v>5.2846347445946421E-2</v>
      </c>
      <c r="O12" s="43">
        <f t="shared" si="10"/>
        <v>5.2846347445946421E-2</v>
      </c>
    </row>
    <row r="13" spans="1:18" x14ac:dyDescent="0.3">
      <c r="B13" t="s">
        <v>77</v>
      </c>
      <c r="E13" s="37"/>
      <c r="F13" s="37">
        <f>-F33/((F63+E63)/2)</f>
        <v>5.9949453449408614E-2</v>
      </c>
      <c r="G13" s="37">
        <f t="shared" ref="G13:I13" si="11">-G33/((G63+F63)/2)</f>
        <v>5.7251714947350027E-2</v>
      </c>
      <c r="H13" s="37">
        <f t="shared" si="11"/>
        <v>5.2895053448204332E-2</v>
      </c>
      <c r="I13" s="37">
        <f t="shared" si="11"/>
        <v>5.4781124131872506E-2</v>
      </c>
      <c r="J13" s="43">
        <f>I13</f>
        <v>5.4781124131872506E-2</v>
      </c>
      <c r="K13" s="43">
        <f t="shared" ref="K13:O13" si="12">J13</f>
        <v>5.4781124131872506E-2</v>
      </c>
      <c r="L13" s="43">
        <f t="shared" si="12"/>
        <v>5.4781124131872506E-2</v>
      </c>
      <c r="M13" s="43">
        <f t="shared" si="12"/>
        <v>5.4781124131872506E-2</v>
      </c>
      <c r="N13" s="43">
        <f t="shared" si="12"/>
        <v>5.4781124131872506E-2</v>
      </c>
      <c r="O13" s="43">
        <f t="shared" si="12"/>
        <v>5.4781124131872506E-2</v>
      </c>
    </row>
    <row r="14" spans="1:18" x14ac:dyDescent="0.3">
      <c r="B14" t="s">
        <v>17</v>
      </c>
      <c r="E14" s="37">
        <f>-(E36+E37)/(E67+E74)</f>
        <v>0.19332035652084828</v>
      </c>
      <c r="F14" s="37">
        <f>-(F36+F37)/(F67+F74)</f>
        <v>9.2576941580309199E-2</v>
      </c>
      <c r="G14" s="37">
        <f>-(G36+G37)/(G67+G74)</f>
        <v>5.2329262777023974E-2</v>
      </c>
      <c r="H14" s="37">
        <f>-(H36+H37)/(H67+H74)</f>
        <v>8.4753623188405791E-2</v>
      </c>
      <c r="I14" s="37">
        <f>-(I36+I37)/(I67+I74)</f>
        <v>6.2086508439048886E-2</v>
      </c>
      <c r="J14" s="43">
        <f>AVERAGE(G14:I14)</f>
        <v>6.638979813482622E-2</v>
      </c>
      <c r="K14" s="43">
        <f>J14</f>
        <v>6.638979813482622E-2</v>
      </c>
      <c r="L14" s="43">
        <f t="shared" ref="L14:O14" si="13">K14</f>
        <v>6.638979813482622E-2</v>
      </c>
      <c r="M14" s="43">
        <f t="shared" si="13"/>
        <v>6.638979813482622E-2</v>
      </c>
      <c r="N14" s="43">
        <f t="shared" si="13"/>
        <v>6.638979813482622E-2</v>
      </c>
      <c r="O14" s="43">
        <f t="shared" si="13"/>
        <v>6.638979813482622E-2</v>
      </c>
    </row>
    <row r="15" spans="1:18" x14ac:dyDescent="0.3">
      <c r="B15" t="s">
        <v>18</v>
      </c>
      <c r="E15" s="37">
        <f>-E40/E39</f>
        <v>0.12048224143318405</v>
      </c>
      <c r="F15" s="37">
        <f t="shared" ref="F15:I15" si="14">-F40/F39</f>
        <v>0.15909819223736546</v>
      </c>
      <c r="G15" s="37">
        <f t="shared" si="14"/>
        <v>0.14930582867930464</v>
      </c>
      <c r="H15" s="37">
        <f t="shared" si="14"/>
        <v>0.27000756021168593</v>
      </c>
      <c r="I15" s="37">
        <f t="shared" si="14"/>
        <v>0.1108286582515194</v>
      </c>
      <c r="J15" s="43">
        <v>0.13</v>
      </c>
      <c r="K15" s="43">
        <v>0.13</v>
      </c>
      <c r="L15" s="43">
        <v>0.13</v>
      </c>
      <c r="M15" s="43">
        <v>0.13</v>
      </c>
      <c r="N15" s="43">
        <v>0.13</v>
      </c>
      <c r="O15" s="43">
        <v>0.13</v>
      </c>
    </row>
    <row r="16" spans="1:18" x14ac:dyDescent="0.3">
      <c r="B16" t="s">
        <v>19</v>
      </c>
      <c r="E16" s="8">
        <f>E56*365/E24</f>
        <v>45.946879639783013</v>
      </c>
      <c r="F16" s="8">
        <f t="shared" ref="F16:I16" si="15">F56*365/F24</f>
        <v>27.158256224363253</v>
      </c>
      <c r="G16" s="8">
        <f t="shared" si="15"/>
        <v>36.316620163526231</v>
      </c>
      <c r="H16" s="8">
        <f t="shared" si="15"/>
        <v>35.641118683494661</v>
      </c>
      <c r="I16" s="8">
        <f t="shared" si="15"/>
        <v>25.868304167374578</v>
      </c>
      <c r="J16" s="45">
        <f>AVERAGE(G16:I16)</f>
        <v>32.608681004798491</v>
      </c>
      <c r="K16" s="45">
        <f>J16</f>
        <v>32.608681004798491</v>
      </c>
      <c r="L16" s="45">
        <f t="shared" ref="L16:O18" si="16">K16</f>
        <v>32.608681004798491</v>
      </c>
      <c r="M16" s="45">
        <f t="shared" si="16"/>
        <v>32.608681004798491</v>
      </c>
      <c r="N16" s="45">
        <f t="shared" si="16"/>
        <v>32.608681004798491</v>
      </c>
      <c r="O16" s="45">
        <f t="shared" si="16"/>
        <v>32.608681004798491</v>
      </c>
      <c r="R16">
        <v>103.6</v>
      </c>
    </row>
    <row r="17" spans="2:15" x14ac:dyDescent="0.3">
      <c r="B17" t="s">
        <v>20</v>
      </c>
      <c r="E17" s="8">
        <f>-E58*365/E25</f>
        <v>103.59633903593716</v>
      </c>
      <c r="F17" s="8">
        <f t="shared" ref="F17:I17" si="17">-F58*365/F25</f>
        <v>88.381026484814839</v>
      </c>
      <c r="G17" s="8">
        <f t="shared" si="17"/>
        <v>79.170902277955037</v>
      </c>
      <c r="H17" s="8">
        <f t="shared" si="17"/>
        <v>79.050336147293635</v>
      </c>
      <c r="I17" s="8">
        <f t="shared" si="17"/>
        <v>90.660972358941748</v>
      </c>
      <c r="J17" s="45">
        <f>AVERAGE(G17:I17)</f>
        <v>82.960736928063469</v>
      </c>
      <c r="K17" s="45">
        <f>J17</f>
        <v>82.960736928063469</v>
      </c>
      <c r="L17" s="45">
        <f t="shared" si="16"/>
        <v>82.960736928063469</v>
      </c>
      <c r="M17" s="45">
        <f t="shared" si="16"/>
        <v>82.960736928063469</v>
      </c>
      <c r="N17" s="45">
        <f t="shared" si="16"/>
        <v>82.960736928063469</v>
      </c>
      <c r="O17" s="45">
        <f t="shared" si="16"/>
        <v>82.960736928063469</v>
      </c>
    </row>
    <row r="18" spans="2:15" x14ac:dyDescent="0.3">
      <c r="B18" t="s">
        <v>21</v>
      </c>
      <c r="E18" s="8">
        <f>-E66*365/E25</f>
        <v>85.889283408650741</v>
      </c>
      <c r="F18" s="8">
        <f t="shared" ref="F18:I18" si="18">-F66*365/F25</f>
        <v>70.161416620410748</v>
      </c>
      <c r="G18" s="8">
        <f t="shared" si="18"/>
        <v>78.805279364843813</v>
      </c>
      <c r="H18" s="8">
        <f t="shared" si="18"/>
        <v>88.96343443217846</v>
      </c>
      <c r="I18" s="8">
        <f t="shared" si="18"/>
        <v>83.360527209847291</v>
      </c>
      <c r="J18" s="45">
        <f>AVERAGE(G18:I18)</f>
        <v>83.709747002289859</v>
      </c>
      <c r="K18" s="45">
        <f>J18</f>
        <v>83.709747002289859</v>
      </c>
      <c r="L18" s="45">
        <f t="shared" si="16"/>
        <v>83.709747002289859</v>
      </c>
      <c r="M18" s="45">
        <f t="shared" si="16"/>
        <v>83.709747002289859</v>
      </c>
      <c r="N18" s="45">
        <f t="shared" si="16"/>
        <v>83.709747002289859</v>
      </c>
      <c r="O18" s="45">
        <f t="shared" si="16"/>
        <v>83.709747002289859</v>
      </c>
    </row>
    <row r="19" spans="2:15" x14ac:dyDescent="0.3">
      <c r="B19" t="s">
        <v>22</v>
      </c>
      <c r="E19" s="26">
        <v>21720</v>
      </c>
      <c r="F19" s="26">
        <v>27301</v>
      </c>
      <c r="G19" s="26">
        <v>28184</v>
      </c>
      <c r="H19" s="26">
        <v>29446</v>
      </c>
      <c r="I19" s="26">
        <v>35098</v>
      </c>
      <c r="J19" s="22">
        <f>I19*(1+J13)</f>
        <v>37020.707894780462</v>
      </c>
      <c r="K19" s="22">
        <f t="shared" ref="K19:O19" si="19">J19*(1+K13)</f>
        <v>39048.743889414225</v>
      </c>
      <c r="L19" s="22">
        <f t="shared" si="19"/>
        <v>41187.877975613927</v>
      </c>
      <c r="M19" s="22">
        <f t="shared" si="19"/>
        <v>43444.196231724454</v>
      </c>
      <c r="N19" s="22">
        <f t="shared" si="19"/>
        <v>45824.11813830398</v>
      </c>
      <c r="O19" s="22">
        <f t="shared" si="19"/>
        <v>48334.414842272003</v>
      </c>
    </row>
    <row r="20" spans="2:15" x14ac:dyDescent="0.3">
      <c r="E20" s="26"/>
      <c r="F20" s="26"/>
      <c r="G20" s="26"/>
      <c r="H20" s="26"/>
      <c r="I20" s="26"/>
      <c r="J20" s="22"/>
      <c r="K20" s="22"/>
      <c r="L20" s="22"/>
      <c r="M20" s="22"/>
      <c r="N20" s="22"/>
      <c r="O20" s="22"/>
    </row>
    <row r="22" spans="2:15" ht="25.8" x14ac:dyDescent="0.5">
      <c r="B22" s="15" t="s">
        <v>23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4" spans="2:15" ht="15" thickBot="1" x14ac:dyDescent="0.35">
      <c r="B24" s="18" t="s">
        <v>24</v>
      </c>
      <c r="C24" s="19"/>
      <c r="D24" s="19"/>
      <c r="E24" s="21">
        <v>206098</v>
      </c>
      <c r="F24" s="21">
        <v>293524</v>
      </c>
      <c r="G24" s="21">
        <v>226508</v>
      </c>
      <c r="H24" s="21">
        <v>208066</v>
      </c>
      <c r="I24" s="21">
        <v>206005</v>
      </c>
      <c r="J24" s="46">
        <f>I24*(1+J7)</f>
        <v>217335.27499999999</v>
      </c>
      <c r="K24" s="46">
        <f t="shared" ref="K24:O24" si="20">J24*(1+K7)</f>
        <v>227115.36237499997</v>
      </c>
      <c r="L24" s="46">
        <f t="shared" si="20"/>
        <v>236199.97686999998</v>
      </c>
      <c r="M24" s="46">
        <f t="shared" si="20"/>
        <v>245175.57599106</v>
      </c>
      <c r="N24" s="46">
        <f t="shared" si="20"/>
        <v>254982.5990307024</v>
      </c>
      <c r="O24" s="46">
        <f t="shared" si="20"/>
        <v>265181.90299193049</v>
      </c>
    </row>
    <row r="25" spans="2:15" ht="15" thickTop="1" x14ac:dyDescent="0.3">
      <c r="B25" t="s">
        <v>29</v>
      </c>
      <c r="E25" s="22">
        <f>-90949-E33</f>
        <v>-74352</v>
      </c>
      <c r="F25" s="22">
        <f>-117267-F33</f>
        <v>-100888</v>
      </c>
      <c r="G25" s="22">
        <f>-124195-G33</f>
        <v>-107816</v>
      </c>
      <c r="H25" s="22">
        <f>-120016-H33</f>
        <v>-104716</v>
      </c>
      <c r="I25" s="22">
        <f>-131318-I33</f>
        <v>-114793</v>
      </c>
      <c r="J25" s="26">
        <f>-J24*J8</f>
        <v>-111312.5120176229</v>
      </c>
      <c r="K25" s="26">
        <f t="shared" ref="K25:O25" si="21">-K24*K8</f>
        <v>-116321.57505841591</v>
      </c>
      <c r="L25" s="26">
        <f t="shared" si="21"/>
        <v>-120974.43806075255</v>
      </c>
      <c r="M25" s="26">
        <f t="shared" si="21"/>
        <v>-125571.46670706116</v>
      </c>
      <c r="N25" s="26">
        <f t="shared" si="21"/>
        <v>-130594.32537534361</v>
      </c>
      <c r="O25" s="26">
        <f t="shared" si="21"/>
        <v>-135818.09839035734</v>
      </c>
    </row>
    <row r="26" spans="2:15" x14ac:dyDescent="0.3">
      <c r="B26" s="20" t="s">
        <v>30</v>
      </c>
      <c r="C26" s="11"/>
      <c r="D26" s="11"/>
      <c r="E26" s="23">
        <f>E24+E25</f>
        <v>131746</v>
      </c>
      <c r="F26" s="23">
        <f t="shared" ref="F26:I26" si="22">F24+F25</f>
        <v>192636</v>
      </c>
      <c r="G26" s="23">
        <f t="shared" si="22"/>
        <v>118692</v>
      </c>
      <c r="H26" s="23">
        <f t="shared" si="22"/>
        <v>103350</v>
      </c>
      <c r="I26" s="23">
        <f t="shared" si="22"/>
        <v>91212</v>
      </c>
      <c r="J26" s="23">
        <f t="shared" ref="J26" si="23">J24+J25</f>
        <v>106022.7629823771</v>
      </c>
      <c r="K26" s="23">
        <f t="shared" ref="K26" si="24">K24+K25</f>
        <v>110793.78731658406</v>
      </c>
      <c r="L26" s="23">
        <f t="shared" ref="L26" si="25">L24+L25</f>
        <v>115225.53880924743</v>
      </c>
      <c r="M26" s="23">
        <f t="shared" ref="M26" si="26">M24+M25</f>
        <v>119604.10928399884</v>
      </c>
      <c r="N26" s="23">
        <f t="shared" ref="N26" si="27">N24+N25</f>
        <v>124388.27365535879</v>
      </c>
      <c r="O26" s="23">
        <f t="shared" ref="O26" si="28">O24+O25</f>
        <v>129363.80460157315</v>
      </c>
    </row>
    <row r="27" spans="2:15" x14ac:dyDescent="0.3">
      <c r="B27" t="s">
        <v>31</v>
      </c>
      <c r="E27" s="22">
        <v>-2529</v>
      </c>
      <c r="F27" s="22">
        <v>-2601</v>
      </c>
      <c r="G27" s="22">
        <v>-2658</v>
      </c>
      <c r="H27" s="22">
        <v>-2758</v>
      </c>
      <c r="I27" s="22">
        <v>-3397</v>
      </c>
      <c r="J27" s="26">
        <f>-J24*J9</f>
        <v>-2721.5649976870473</v>
      </c>
      <c r="K27" s="26">
        <f t="shared" ref="K27:O27" si="29">-K24*K9</f>
        <v>-2844.0354225829637</v>
      </c>
      <c r="L27" s="26">
        <f t="shared" si="29"/>
        <v>-2957.7968394862828</v>
      </c>
      <c r="M27" s="26">
        <f t="shared" si="29"/>
        <v>-3070.1931193867617</v>
      </c>
      <c r="N27" s="26">
        <f t="shared" si="29"/>
        <v>-3193.0008441622322</v>
      </c>
      <c r="O27" s="26">
        <f t="shared" si="29"/>
        <v>-3320.7208779287212</v>
      </c>
    </row>
    <row r="28" spans="2:15" x14ac:dyDescent="0.3">
      <c r="B28" t="s">
        <v>32</v>
      </c>
      <c r="E28" s="22">
        <v>-2151</v>
      </c>
      <c r="F28" s="22">
        <v>-2964</v>
      </c>
      <c r="G28" s="22">
        <v>-3411</v>
      </c>
      <c r="H28" s="22">
        <v>-3598</v>
      </c>
      <c r="I28" s="22">
        <v>-4307</v>
      </c>
      <c r="J28" s="26">
        <f>-J24*J10</f>
        <v>-4543.8849999999993</v>
      </c>
      <c r="K28" s="26">
        <f t="shared" ref="K28:O28" si="30">-K24*K10</f>
        <v>-4748.3598249999995</v>
      </c>
      <c r="L28" s="26">
        <f t="shared" si="30"/>
        <v>-4938.2942179999991</v>
      </c>
      <c r="M28" s="26">
        <f t="shared" si="30"/>
        <v>-5125.9493982839995</v>
      </c>
      <c r="N28" s="26">
        <f t="shared" si="30"/>
        <v>-5330.9873742153595</v>
      </c>
      <c r="O28" s="26">
        <f t="shared" si="30"/>
        <v>-5544.2268691839736</v>
      </c>
    </row>
    <row r="29" spans="2:15" x14ac:dyDescent="0.3">
      <c r="B29" t="s">
        <v>33</v>
      </c>
      <c r="E29" s="22">
        <v>-4517</v>
      </c>
      <c r="F29" s="22">
        <v>-3467</v>
      </c>
      <c r="G29" s="22">
        <v>-2466</v>
      </c>
      <c r="H29" s="22">
        <v>-2249</v>
      </c>
      <c r="I29" s="22">
        <v>-2189</v>
      </c>
      <c r="J29" s="34">
        <f>I29</f>
        <v>-2189</v>
      </c>
      <c r="K29" s="34">
        <f>J29</f>
        <v>-2189</v>
      </c>
      <c r="L29" s="34">
        <f t="shared" ref="L29:O29" si="31">K29</f>
        <v>-2189</v>
      </c>
      <c r="M29" s="34">
        <f t="shared" si="31"/>
        <v>-2189</v>
      </c>
      <c r="N29" s="34">
        <f t="shared" si="31"/>
        <v>-2189</v>
      </c>
      <c r="O29" s="34">
        <f t="shared" si="31"/>
        <v>-2189</v>
      </c>
    </row>
    <row r="30" spans="2:15" x14ac:dyDescent="0.3">
      <c r="B30" t="s">
        <v>34</v>
      </c>
      <c r="E30" s="22">
        <v>-27016</v>
      </c>
      <c r="F30" s="22">
        <v>-14379</v>
      </c>
      <c r="G30" s="22"/>
      <c r="H30" s="22"/>
      <c r="I30" s="22"/>
    </row>
    <row r="31" spans="2:15" x14ac:dyDescent="0.3">
      <c r="B31" t="s">
        <v>35</v>
      </c>
      <c r="E31" s="22">
        <v>-4202</v>
      </c>
      <c r="F31" s="22">
        <v>-2212</v>
      </c>
      <c r="G31" s="22">
        <v>-8901</v>
      </c>
      <c r="H31" s="22">
        <v>-7422</v>
      </c>
      <c r="I31" s="22">
        <v>-8275</v>
      </c>
      <c r="J31" s="34">
        <f>J11</f>
        <v>-6202.4</v>
      </c>
      <c r="K31" s="34">
        <f t="shared" ref="K31:O31" si="32">K11</f>
        <v>-6202.4</v>
      </c>
      <c r="L31" s="34">
        <f t="shared" si="32"/>
        <v>-6202.4</v>
      </c>
      <c r="M31" s="34">
        <f t="shared" si="32"/>
        <v>-6202.4</v>
      </c>
      <c r="N31" s="34">
        <f t="shared" si="32"/>
        <v>-6202.4</v>
      </c>
      <c r="O31" s="34">
        <f t="shared" si="32"/>
        <v>-6202.4</v>
      </c>
    </row>
    <row r="32" spans="2:15" x14ac:dyDescent="0.3">
      <c r="B32" t="s">
        <v>36</v>
      </c>
      <c r="E32" s="22">
        <v>-6968</v>
      </c>
      <c r="F32" s="22">
        <v>-2352</v>
      </c>
      <c r="G32" s="22">
        <v>3833</v>
      </c>
      <c r="H32" s="22">
        <v>-1317</v>
      </c>
      <c r="I32" s="22">
        <v>510</v>
      </c>
      <c r="J32" s="34">
        <f>AVERAGE(E32:I32)</f>
        <v>-1258.8</v>
      </c>
      <c r="K32" s="34">
        <f t="shared" ref="K32:O32" si="33">AVERAGE(F32:J32)</f>
        <v>-116.96</v>
      </c>
      <c r="L32" s="34">
        <f t="shared" si="33"/>
        <v>330.048</v>
      </c>
      <c r="M32" s="34">
        <f t="shared" si="33"/>
        <v>-370.54240000000004</v>
      </c>
      <c r="N32" s="34">
        <f t="shared" si="33"/>
        <v>-181.25088</v>
      </c>
      <c r="O32" s="34">
        <f t="shared" si="33"/>
        <v>-319.50105600000001</v>
      </c>
    </row>
    <row r="33" spans="2:17" x14ac:dyDescent="0.3">
      <c r="B33" t="s">
        <v>37</v>
      </c>
      <c r="E33" s="22">
        <v>-16597</v>
      </c>
      <c r="F33" s="22">
        <v>-16379</v>
      </c>
      <c r="G33" s="22">
        <v>-16379</v>
      </c>
      <c r="H33" s="22">
        <v>-15300</v>
      </c>
      <c r="I33" s="22">
        <v>-16525</v>
      </c>
      <c r="J33" s="34">
        <f>-I63*J13+J19*J13/2</f>
        <v>-16115.98473759552</v>
      </c>
      <c r="K33" s="34">
        <f t="shared" ref="K33:O33" si="34">-J63*K13+K19*K13/2</f>
        <v>-18088.471686446312</v>
      </c>
      <c r="L33" s="34">
        <f t="shared" si="34"/>
        <v>-20169.013687690596</v>
      </c>
      <c r="M33" s="34">
        <f t="shared" si="34"/>
        <v>-22363.530118566621</v>
      </c>
      <c r="N33" s="34">
        <f t="shared" si="34"/>
        <v>-24678.264626451899</v>
      </c>
      <c r="O33" s="34">
        <f t="shared" si="34"/>
        <v>-27119.802892745967</v>
      </c>
    </row>
    <row r="34" spans="2:17" x14ac:dyDescent="0.3">
      <c r="B34" s="27" t="s">
        <v>38</v>
      </c>
      <c r="C34" s="27"/>
      <c r="D34" s="27"/>
      <c r="E34" s="28">
        <f>SUM(E27:E33)</f>
        <v>-63980</v>
      </c>
      <c r="F34" s="28">
        <f t="shared" ref="F34:I34" si="35">SUM(F27:F33)</f>
        <v>-44354</v>
      </c>
      <c r="G34" s="28">
        <f t="shared" si="35"/>
        <v>-29982</v>
      </c>
      <c r="H34" s="28">
        <f t="shared" si="35"/>
        <v>-32644</v>
      </c>
      <c r="I34" s="28">
        <f t="shared" si="35"/>
        <v>-34183</v>
      </c>
      <c r="J34" s="28">
        <f t="shared" ref="J34" si="36">SUM(J27:J33)</f>
        <v>-33031.634735282569</v>
      </c>
      <c r="K34" s="28">
        <f t="shared" ref="K34" si="37">SUM(K27:K33)</f>
        <v>-34189.22693402927</v>
      </c>
      <c r="L34" s="28">
        <f t="shared" ref="L34" si="38">SUM(L27:L33)</f>
        <v>-36126.456745176882</v>
      </c>
      <c r="M34" s="28">
        <f t="shared" ref="M34" si="39">SUM(M27:M33)</f>
        <v>-39321.615036237381</v>
      </c>
      <c r="N34" s="28">
        <f t="shared" ref="N34" si="40">SUM(N27:N33)</f>
        <v>-41774.903724829492</v>
      </c>
      <c r="O34" s="28">
        <f t="shared" ref="O34" si="41">SUM(O27:O33)</f>
        <v>-44695.651695858665</v>
      </c>
    </row>
    <row r="35" spans="2:17" ht="15" thickBot="1" x14ac:dyDescent="0.35">
      <c r="B35" s="18" t="s">
        <v>39</v>
      </c>
      <c r="C35" s="19"/>
      <c r="D35" s="19"/>
      <c r="E35" s="25">
        <f>E26+E34</f>
        <v>67766</v>
      </c>
      <c r="F35" s="25">
        <f t="shared" ref="F35:I35" si="42">F26+F34</f>
        <v>148282</v>
      </c>
      <c r="G35" s="25">
        <f t="shared" si="42"/>
        <v>88710</v>
      </c>
      <c r="H35" s="25">
        <f t="shared" si="42"/>
        <v>70706</v>
      </c>
      <c r="I35" s="25">
        <f t="shared" si="42"/>
        <v>57029</v>
      </c>
      <c r="J35" s="25">
        <f t="shared" ref="J35" si="43">J26+J34</f>
        <v>72991.12824709453</v>
      </c>
      <c r="K35" s="25">
        <f t="shared" ref="K35" si="44">K26+K34</f>
        <v>76604.560382554788</v>
      </c>
      <c r="L35" s="25">
        <f t="shared" ref="L35" si="45">L26+L34</f>
        <v>79099.08206407055</v>
      </c>
      <c r="M35" s="25">
        <f t="shared" ref="M35" si="46">M26+M34</f>
        <v>80282.494247761468</v>
      </c>
      <c r="N35" s="25">
        <f t="shared" ref="N35" si="47">N26+N34</f>
        <v>82613.369930529298</v>
      </c>
      <c r="O35" s="25">
        <f t="shared" ref="O35" si="48">O26+O34</f>
        <v>84668.152905714494</v>
      </c>
    </row>
    <row r="36" spans="2:17" ht="15" thickTop="1" x14ac:dyDescent="0.3">
      <c r="B36" t="s">
        <v>40</v>
      </c>
      <c r="E36" s="22">
        <v>-16666</v>
      </c>
      <c r="F36" s="22">
        <v>-8942</v>
      </c>
      <c r="G36" s="22">
        <v>-6156</v>
      </c>
      <c r="H36" s="22">
        <v>-7276</v>
      </c>
      <c r="I36" s="22">
        <v>-7968</v>
      </c>
      <c r="J36" s="34">
        <f>AVERAGE(E36:I36)</f>
        <v>-9401.6</v>
      </c>
      <c r="K36" s="34">
        <f>J36</f>
        <v>-9401.6</v>
      </c>
      <c r="L36" s="34">
        <f t="shared" ref="L36:O36" si="49">K36</f>
        <v>-9401.6</v>
      </c>
      <c r="M36" s="34">
        <f t="shared" si="49"/>
        <v>-9401.6</v>
      </c>
      <c r="N36" s="34">
        <f t="shared" si="49"/>
        <v>-9401.6</v>
      </c>
      <c r="O36" s="34">
        <f t="shared" si="49"/>
        <v>-9401.6</v>
      </c>
    </row>
    <row r="37" spans="2:17" x14ac:dyDescent="0.3">
      <c r="B37" t="s">
        <v>41</v>
      </c>
      <c r="E37" s="22">
        <v>1570</v>
      </c>
      <c r="F37" s="22">
        <v>1822</v>
      </c>
      <c r="G37" s="22">
        <v>2685</v>
      </c>
      <c r="H37" s="22">
        <v>2159</v>
      </c>
      <c r="I37" s="22">
        <v>2281</v>
      </c>
      <c r="J37" s="34">
        <f>AVERAGE(E37:I37)</f>
        <v>2103.4</v>
      </c>
      <c r="K37" s="34">
        <f>J37</f>
        <v>2103.4</v>
      </c>
      <c r="L37" s="34">
        <f t="shared" ref="L37:O37" si="50">K37</f>
        <v>2103.4</v>
      </c>
      <c r="M37" s="34">
        <f t="shared" si="50"/>
        <v>2103.4</v>
      </c>
      <c r="N37" s="34">
        <f t="shared" si="50"/>
        <v>2103.4</v>
      </c>
      <c r="O37" s="34">
        <f t="shared" si="50"/>
        <v>2103.4</v>
      </c>
    </row>
    <row r="38" spans="2:17" x14ac:dyDescent="0.3">
      <c r="B38" t="s">
        <v>42</v>
      </c>
      <c r="E38" s="22">
        <v>-14266</v>
      </c>
      <c r="F38" s="22">
        <v>17985</v>
      </c>
      <c r="G38" s="22">
        <v>16465</v>
      </c>
      <c r="H38" s="22">
        <v>-10035</v>
      </c>
      <c r="I38" s="22">
        <v>-17118</v>
      </c>
      <c r="J38" s="34">
        <f>AVERAGE(E38:I38)</f>
        <v>-1393.8</v>
      </c>
      <c r="K38" s="34">
        <f>J38</f>
        <v>-1393.8</v>
      </c>
      <c r="L38" s="34">
        <f t="shared" ref="L38:O38" si="51">K38</f>
        <v>-1393.8</v>
      </c>
      <c r="M38" s="34">
        <f t="shared" si="51"/>
        <v>-1393.8</v>
      </c>
      <c r="N38" s="34">
        <f t="shared" si="51"/>
        <v>-1393.8</v>
      </c>
      <c r="O38" s="34">
        <f t="shared" si="51"/>
        <v>-1393.8</v>
      </c>
    </row>
    <row r="39" spans="2:17" x14ac:dyDescent="0.3">
      <c r="B39" s="20" t="s">
        <v>43</v>
      </c>
      <c r="C39" s="11"/>
      <c r="D39" s="11"/>
      <c r="E39" s="23">
        <f>E35+E36+E37+E38</f>
        <v>38404</v>
      </c>
      <c r="F39" s="23">
        <f t="shared" ref="F39:I39" si="52">F35+F36+F37+F38</f>
        <v>159147</v>
      </c>
      <c r="G39" s="23">
        <f t="shared" si="52"/>
        <v>101704</v>
      </c>
      <c r="H39" s="23">
        <f t="shared" si="52"/>
        <v>55554</v>
      </c>
      <c r="I39" s="23">
        <f t="shared" si="52"/>
        <v>34224</v>
      </c>
      <c r="J39" s="23">
        <f t="shared" ref="J39" si="53">J35+J36+J37+J38</f>
        <v>64299.12824709453</v>
      </c>
      <c r="K39" s="23">
        <f t="shared" ref="K39" si="54">K35+K36+K37+K38</f>
        <v>67912.560382554773</v>
      </c>
      <c r="L39" s="23">
        <f t="shared" ref="L39" si="55">L35+L36+L37+L38</f>
        <v>70407.082064070535</v>
      </c>
      <c r="M39" s="23">
        <f t="shared" ref="M39" si="56">M35+M36+M37+M38</f>
        <v>71590.494247761453</v>
      </c>
      <c r="N39" s="23">
        <f t="shared" ref="N39" si="57">N35+N36+N37+N38</f>
        <v>73921.369930529283</v>
      </c>
      <c r="O39" s="23">
        <f t="shared" ref="O39" si="58">O35+O36+O37+O38</f>
        <v>75976.15290571448</v>
      </c>
    </row>
    <row r="40" spans="2:17" x14ac:dyDescent="0.3">
      <c r="B40" t="s">
        <v>44</v>
      </c>
      <c r="E40" s="22">
        <v>-4627</v>
      </c>
      <c r="F40" s="22">
        <v>-25320</v>
      </c>
      <c r="G40" s="22">
        <v>-15185</v>
      </c>
      <c r="H40" s="22">
        <v>-15000</v>
      </c>
      <c r="I40" s="22">
        <v>-3793</v>
      </c>
      <c r="J40" s="34">
        <f>-J39*J15</f>
        <v>-8358.8866721222894</v>
      </c>
      <c r="K40" s="34">
        <f t="shared" ref="K40:O40" si="59">-K39*K15</f>
        <v>-8828.632849732121</v>
      </c>
      <c r="L40" s="34">
        <f t="shared" si="59"/>
        <v>-9152.9206683291704</v>
      </c>
      <c r="M40" s="34">
        <f t="shared" si="59"/>
        <v>-9306.76425220899</v>
      </c>
      <c r="N40" s="34">
        <f t="shared" si="59"/>
        <v>-9609.7780909688063</v>
      </c>
      <c r="O40" s="34">
        <f t="shared" si="59"/>
        <v>-9876.8998777428824</v>
      </c>
    </row>
    <row r="41" spans="2:17" x14ac:dyDescent="0.3">
      <c r="B41" t="s">
        <v>45</v>
      </c>
      <c r="E41" s="22">
        <v>-7065</v>
      </c>
      <c r="F41" s="22">
        <v>-11417</v>
      </c>
      <c r="G41" s="22">
        <v>9818</v>
      </c>
    </row>
    <row r="42" spans="2:17" ht="15" thickBot="1" x14ac:dyDescent="0.35">
      <c r="B42" s="18" t="s">
        <v>46</v>
      </c>
      <c r="C42" s="19"/>
      <c r="D42" s="19"/>
      <c r="E42" s="25">
        <f>E39+E40+E41</f>
        <v>26712</v>
      </c>
      <c r="F42" s="25">
        <f t="shared" ref="F42:I42" si="60">F39+F40+F41</f>
        <v>122410</v>
      </c>
      <c r="G42" s="25">
        <f t="shared" si="60"/>
        <v>96337</v>
      </c>
      <c r="H42" s="25">
        <f t="shared" si="60"/>
        <v>40554</v>
      </c>
      <c r="I42" s="25">
        <f t="shared" si="60"/>
        <v>30431</v>
      </c>
      <c r="J42" s="25">
        <f t="shared" ref="J42" si="61">J39+J40+J41</f>
        <v>55940.241574972242</v>
      </c>
      <c r="K42" s="25">
        <f t="shared" ref="K42" si="62">K39+K40+K41</f>
        <v>59083.92753282265</v>
      </c>
      <c r="L42" s="25">
        <f t="shared" ref="L42" si="63">L39+L40+L41</f>
        <v>61254.161395741365</v>
      </c>
      <c r="M42" s="25">
        <f t="shared" ref="M42" si="64">M39+M40+M41</f>
        <v>62283.729995552465</v>
      </c>
      <c r="N42" s="25">
        <f t="shared" ref="N42" si="65">N39+N40+N41</f>
        <v>64311.591839560475</v>
      </c>
      <c r="O42" s="25">
        <f t="shared" ref="O42" si="66">O39+O40+O41</f>
        <v>66099.253027971601</v>
      </c>
    </row>
    <row r="43" spans="2:17" ht="15" thickTop="1" x14ac:dyDescent="0.3"/>
    <row r="44" spans="2:17" x14ac:dyDescent="0.3">
      <c r="B44" s="20" t="s">
        <v>47</v>
      </c>
      <c r="C44" s="11"/>
      <c r="D44" s="11"/>
      <c r="E44" s="31">
        <v>87340</v>
      </c>
      <c r="F44" s="31">
        <v>168056</v>
      </c>
      <c r="G44" s="31">
        <v>102057</v>
      </c>
      <c r="H44" s="31">
        <v>92594</v>
      </c>
      <c r="I44" s="31">
        <v>80121</v>
      </c>
      <c r="J44" s="11"/>
      <c r="K44" s="11"/>
      <c r="L44" s="11"/>
      <c r="M44" s="11"/>
      <c r="N44" s="11"/>
      <c r="O44" s="11"/>
    </row>
    <row r="45" spans="2:17" x14ac:dyDescent="0.3">
      <c r="B45" t="s">
        <v>51</v>
      </c>
      <c r="E45" s="30">
        <f>E44/E24</f>
        <v>0.42377897893235256</v>
      </c>
      <c r="F45" s="30">
        <f>F44/F24</f>
        <v>0.57254602690069634</v>
      </c>
      <c r="G45" s="30">
        <f>G44/G24</f>
        <v>0.45056686739541207</v>
      </c>
      <c r="H45" s="30">
        <f>H44/H24</f>
        <v>0.44502225255447792</v>
      </c>
      <c r="I45" s="30">
        <f>I44/I24</f>
        <v>0.38892745321715494</v>
      </c>
    </row>
    <row r="46" spans="2:17" x14ac:dyDescent="0.3">
      <c r="B46" s="20" t="s">
        <v>48</v>
      </c>
      <c r="C46" s="11"/>
      <c r="D46" s="11"/>
      <c r="E46" s="31">
        <v>70661</v>
      </c>
      <c r="F46" s="31">
        <v>151677</v>
      </c>
      <c r="G46" s="31">
        <v>85671</v>
      </c>
      <c r="H46" s="31">
        <v>77294</v>
      </c>
      <c r="I46" s="31">
        <v>63596</v>
      </c>
      <c r="J46" s="11"/>
      <c r="K46" s="11"/>
      <c r="L46" s="11"/>
      <c r="M46" s="11"/>
      <c r="N46" s="11"/>
      <c r="O46" s="11"/>
      <c r="Q46" s="32"/>
    </row>
    <row r="47" spans="2:17" x14ac:dyDescent="0.3">
      <c r="B47" t="s">
        <v>52</v>
      </c>
      <c r="E47" s="33">
        <f>E46/E24</f>
        <v>0.34285145901464353</v>
      </c>
      <c r="F47" s="33">
        <f>F46/F24</f>
        <v>0.51674479769967707</v>
      </c>
      <c r="G47" s="33">
        <f>G46/G24</f>
        <v>0.37822505165380471</v>
      </c>
      <c r="H47" s="33">
        <f>H46/H24</f>
        <v>0.37148789326463716</v>
      </c>
      <c r="I47" s="33">
        <f>I46/I24</f>
        <v>0.30871095361763062</v>
      </c>
    </row>
    <row r="48" spans="2:17" x14ac:dyDescent="0.3">
      <c r="B48" s="20" t="s">
        <v>53</v>
      </c>
      <c r="C48" s="20"/>
      <c r="D48" s="20"/>
      <c r="E48" s="23">
        <f>E46-E40</f>
        <v>75288</v>
      </c>
      <c r="F48" s="23">
        <f t="shared" ref="F48:I48" si="67">F46-F40</f>
        <v>176997</v>
      </c>
      <c r="G48" s="23">
        <f t="shared" si="67"/>
        <v>100856</v>
      </c>
      <c r="H48" s="23">
        <f t="shared" si="67"/>
        <v>92294</v>
      </c>
      <c r="I48" s="23">
        <f t="shared" si="67"/>
        <v>67389</v>
      </c>
      <c r="J48" s="20"/>
      <c r="K48" s="20"/>
      <c r="L48" s="20"/>
      <c r="M48" s="20"/>
      <c r="N48" s="20"/>
      <c r="O48" s="20"/>
    </row>
    <row r="49" spans="2:15" x14ac:dyDescent="0.3">
      <c r="B49" t="s">
        <v>49</v>
      </c>
      <c r="E49" s="30">
        <f>E42/E24</f>
        <v>0.12960824462149076</v>
      </c>
      <c r="F49" s="30">
        <f t="shared" ref="F49:I49" si="68">F42/F24</f>
        <v>0.41703574494760226</v>
      </c>
      <c r="G49" s="30">
        <f t="shared" si="68"/>
        <v>0.42531389619792681</v>
      </c>
      <c r="H49" s="30">
        <f t="shared" si="68"/>
        <v>0.19490930762354253</v>
      </c>
      <c r="I49" s="30">
        <f t="shared" si="68"/>
        <v>0.14771971554088492</v>
      </c>
    </row>
    <row r="50" spans="2:15" x14ac:dyDescent="0.3">
      <c r="E50" s="30"/>
      <c r="F50" s="30"/>
      <c r="G50" s="30"/>
      <c r="H50" s="30"/>
      <c r="I50" s="30"/>
    </row>
    <row r="52" spans="2:15" ht="25.8" x14ac:dyDescent="0.5">
      <c r="B52" s="15" t="s">
        <v>54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4" spans="2:15" x14ac:dyDescent="0.3">
      <c r="B54" t="s">
        <v>55</v>
      </c>
      <c r="E54" s="22">
        <v>70086</v>
      </c>
      <c r="F54" s="22">
        <v>65409</v>
      </c>
      <c r="G54" s="22">
        <v>24711</v>
      </c>
      <c r="H54" s="22">
        <v>17474</v>
      </c>
      <c r="I54" s="22">
        <v>30671</v>
      </c>
      <c r="J54" s="34">
        <f>I54+J103</f>
        <v>22073.747709564981</v>
      </c>
      <c r="K54" s="34">
        <f t="shared" ref="K54:O54" si="69">J54+K103</f>
        <v>50476.229608063113</v>
      </c>
      <c r="L54" s="34">
        <f t="shared" si="69"/>
        <v>78599.758542530501</v>
      </c>
      <c r="M54" s="34">
        <f t="shared" si="69"/>
        <v>110287.70124764241</v>
      </c>
      <c r="N54" s="34">
        <f t="shared" si="69"/>
        <v>147137.03747067862</v>
      </c>
      <c r="O54" s="34">
        <f t="shared" si="69"/>
        <v>178280.55822795071</v>
      </c>
    </row>
    <row r="55" spans="2:15" x14ac:dyDescent="0.3">
      <c r="B55" t="s">
        <v>56</v>
      </c>
      <c r="E55" s="22">
        <v>4006</v>
      </c>
      <c r="F55" s="22">
        <v>1028</v>
      </c>
      <c r="G55" s="22">
        <v>320</v>
      </c>
      <c r="H55" s="22">
        <v>250</v>
      </c>
      <c r="I55" s="22">
        <v>331</v>
      </c>
      <c r="J55" s="34">
        <f>I55*(1+Macro!I6)</f>
        <v>379.82249999999999</v>
      </c>
      <c r="K55" s="34">
        <f>J55*(1+Macro!J6)</f>
        <v>427.30031250000002</v>
      </c>
      <c r="L55" s="34">
        <f>K55*(1+Macro!K6)</f>
        <v>472.16684531250002</v>
      </c>
      <c r="M55" s="34">
        <f>L55*(1+Macro!L6)</f>
        <v>519.38352984375001</v>
      </c>
      <c r="N55" s="34">
        <f>M55*(1+Macro!M6)</f>
        <v>571.32188282812501</v>
      </c>
      <c r="O55" s="34">
        <f>N55*(1+Macro!N6)</f>
        <v>628.45407111093755</v>
      </c>
    </row>
    <row r="56" spans="2:15" x14ac:dyDescent="0.3">
      <c r="B56" t="s">
        <v>57</v>
      </c>
      <c r="E56" s="22">
        <v>25944</v>
      </c>
      <c r="F56" s="22">
        <v>21840</v>
      </c>
      <c r="G56" s="22">
        <v>22537</v>
      </c>
      <c r="H56" s="22">
        <v>20317</v>
      </c>
      <c r="I56" s="22">
        <v>14600</v>
      </c>
      <c r="J56" s="34">
        <f>J24*J16/365</f>
        <v>19416.48398237029</v>
      </c>
      <c r="K56" s="34">
        <f t="shared" ref="K56:O56" si="70">K24*K16/365</f>
        <v>20290.225761576952</v>
      </c>
      <c r="L56" s="34">
        <f t="shared" si="70"/>
        <v>21101.83479204003</v>
      </c>
      <c r="M56" s="34">
        <f t="shared" si="70"/>
        <v>21903.704514137553</v>
      </c>
      <c r="N56" s="34">
        <f t="shared" si="70"/>
        <v>22779.852694703055</v>
      </c>
      <c r="O56" s="34">
        <f t="shared" si="70"/>
        <v>23691.046802491179</v>
      </c>
    </row>
    <row r="57" spans="2:15" x14ac:dyDescent="0.3">
      <c r="B57" t="s">
        <v>28</v>
      </c>
      <c r="E57" s="22">
        <f>10978+4693</f>
        <v>15671</v>
      </c>
      <c r="F57" s="22">
        <f>1415+10270</f>
        <v>11685</v>
      </c>
      <c r="G57" s="22">
        <v>10194</v>
      </c>
      <c r="H57" s="22">
        <v>31461</v>
      </c>
      <c r="I57" s="22">
        <v>12136</v>
      </c>
      <c r="J57" s="34">
        <f>I57</f>
        <v>12136</v>
      </c>
      <c r="K57" s="34">
        <f t="shared" ref="K57:O57" si="71">J57</f>
        <v>12136</v>
      </c>
      <c r="L57" s="34">
        <f t="shared" si="71"/>
        <v>12136</v>
      </c>
      <c r="M57" s="34">
        <f t="shared" si="71"/>
        <v>12136</v>
      </c>
      <c r="N57" s="34">
        <f t="shared" si="71"/>
        <v>12136</v>
      </c>
      <c r="O57" s="34">
        <f t="shared" si="71"/>
        <v>12136</v>
      </c>
    </row>
    <row r="58" spans="2:15" x14ac:dyDescent="0.3">
      <c r="B58" t="s">
        <v>58</v>
      </c>
      <c r="E58" s="22">
        <v>21103</v>
      </c>
      <c r="F58" s="22">
        <v>24429</v>
      </c>
      <c r="G58" s="22">
        <v>23386</v>
      </c>
      <c r="H58" s="22">
        <v>22679</v>
      </c>
      <c r="I58" s="22">
        <v>28513</v>
      </c>
      <c r="J58" s="34">
        <f>-J25*J17/365</f>
        <v>25300.186373413471</v>
      </c>
      <c r="K58" s="34">
        <f t="shared" ref="K58:O58" si="72">-K25*K17/365</f>
        <v>26438.694760217073</v>
      </c>
      <c r="L58" s="34">
        <f t="shared" si="72"/>
        <v>27496.242550625753</v>
      </c>
      <c r="M58" s="34">
        <f t="shared" si="72"/>
        <v>28541.099767549542</v>
      </c>
      <c r="N58" s="34">
        <f t="shared" si="72"/>
        <v>29682.743758251523</v>
      </c>
      <c r="O58" s="34">
        <f t="shared" si="72"/>
        <v>30870.053508581579</v>
      </c>
    </row>
    <row r="59" spans="2:15" x14ac:dyDescent="0.3">
      <c r="B59" t="s">
        <v>59</v>
      </c>
      <c r="E59" s="22">
        <f>2646+5670</f>
        <v>8316</v>
      </c>
      <c r="F59" s="22">
        <f>4809+5220</f>
        <v>10029</v>
      </c>
      <c r="G59" s="22">
        <f>6639+5793</f>
        <v>12432</v>
      </c>
      <c r="H59" s="22">
        <f>4355+6652</f>
        <v>11007</v>
      </c>
      <c r="I59" s="22">
        <f>6811+8030</f>
        <v>14841</v>
      </c>
      <c r="J59" s="34">
        <f>AVERAGE(E59:I59)</f>
        <v>11325</v>
      </c>
      <c r="K59" s="34">
        <f t="shared" ref="K59:O59" si="73">AVERAGE(F59:J59)</f>
        <v>11926.8</v>
      </c>
      <c r="L59" s="34">
        <f t="shared" si="73"/>
        <v>12306.36</v>
      </c>
      <c r="M59" s="34">
        <f t="shared" si="73"/>
        <v>12281.232</v>
      </c>
      <c r="N59" s="34">
        <f t="shared" si="73"/>
        <v>12536.078400000002</v>
      </c>
      <c r="O59" s="34">
        <f t="shared" si="73"/>
        <v>12075.094080000001</v>
      </c>
    </row>
    <row r="60" spans="2:15" x14ac:dyDescent="0.3">
      <c r="B60" t="s">
        <v>60</v>
      </c>
      <c r="E60" s="22">
        <v>6591</v>
      </c>
      <c r="F60" s="22">
        <v>6808</v>
      </c>
      <c r="G60" s="22">
        <v>6338</v>
      </c>
      <c r="H60" s="22">
        <f>2956+3861</f>
        <v>6817</v>
      </c>
      <c r="I60" s="22">
        <v>3326</v>
      </c>
      <c r="J60" s="34">
        <f>I60</f>
        <v>3326</v>
      </c>
      <c r="K60" s="34">
        <f>J60</f>
        <v>3326</v>
      </c>
      <c r="L60" s="34">
        <f t="shared" ref="L60:O60" si="74">K60</f>
        <v>3326</v>
      </c>
      <c r="M60" s="34">
        <f t="shared" si="74"/>
        <v>3326</v>
      </c>
      <c r="N60" s="34">
        <f t="shared" si="74"/>
        <v>3326</v>
      </c>
      <c r="O60" s="34">
        <f t="shared" si="74"/>
        <v>3326</v>
      </c>
    </row>
    <row r="61" spans="2:15" x14ac:dyDescent="0.3">
      <c r="B61" t="s">
        <v>61</v>
      </c>
      <c r="E61" s="22">
        <v>53711</v>
      </c>
      <c r="F61" s="22">
        <v>63847</v>
      </c>
      <c r="G61" s="22">
        <v>56195</v>
      </c>
      <c r="H61" s="22">
        <v>46307</v>
      </c>
      <c r="I61" s="22">
        <f>51050</f>
        <v>51050</v>
      </c>
      <c r="J61" s="34">
        <f>AVERAGE(E61:I61)</f>
        <v>54222</v>
      </c>
      <c r="K61" s="34">
        <f t="shared" ref="K61:O61" si="75">AVERAGE(F61:J61)</f>
        <v>54324.2</v>
      </c>
      <c r="L61" s="34">
        <f t="shared" si="75"/>
        <v>52419.64</v>
      </c>
      <c r="M61" s="34">
        <f t="shared" si="75"/>
        <v>51664.568000000007</v>
      </c>
      <c r="N61" s="34">
        <f t="shared" si="75"/>
        <v>52736.081600000012</v>
      </c>
      <c r="O61" s="34">
        <f t="shared" si="75"/>
        <v>53073.297920000005</v>
      </c>
    </row>
    <row r="62" spans="2:15" x14ac:dyDescent="0.3">
      <c r="B62" t="s">
        <v>62</v>
      </c>
      <c r="E62" s="22">
        <v>10557</v>
      </c>
      <c r="F62" s="22">
        <v>9771</v>
      </c>
      <c r="G62" s="22">
        <v>9381</v>
      </c>
      <c r="H62" s="22">
        <v>9061</v>
      </c>
      <c r="I62" s="22">
        <v>28158</v>
      </c>
      <c r="J62" s="34">
        <f>AVERAGE(E62:I62)</f>
        <v>13385.6</v>
      </c>
      <c r="K62" s="34">
        <f>J62</f>
        <v>13385.6</v>
      </c>
      <c r="L62" s="34">
        <f t="shared" ref="L62:O62" si="76">K62</f>
        <v>13385.6</v>
      </c>
      <c r="M62" s="34">
        <f t="shared" si="76"/>
        <v>13385.6</v>
      </c>
      <c r="N62" s="34">
        <f t="shared" si="76"/>
        <v>13385.6</v>
      </c>
      <c r="O62" s="34">
        <f t="shared" si="76"/>
        <v>13385.6</v>
      </c>
    </row>
    <row r="63" spans="2:15" x14ac:dyDescent="0.3">
      <c r="B63" t="s">
        <v>122</v>
      </c>
      <c r="E63" s="22">
        <v>262145</v>
      </c>
      <c r="F63" s="22">
        <v>284282</v>
      </c>
      <c r="G63" s="22">
        <v>287893</v>
      </c>
      <c r="H63" s="22">
        <v>290611</v>
      </c>
      <c r="I63" s="22">
        <v>312699</v>
      </c>
      <c r="J63" s="34">
        <f>I63+J19</f>
        <v>349719.70789478044</v>
      </c>
      <c r="K63" s="34">
        <f t="shared" ref="K63:O63" si="77">J63+K19</f>
        <v>388768.45178419468</v>
      </c>
      <c r="L63" s="34">
        <f t="shared" si="77"/>
        <v>429956.32975980861</v>
      </c>
      <c r="M63" s="34">
        <f t="shared" si="77"/>
        <v>473400.52599153307</v>
      </c>
      <c r="N63" s="34">
        <f t="shared" si="77"/>
        <v>519224.64412983705</v>
      </c>
      <c r="O63" s="34">
        <f t="shared" si="77"/>
        <v>567559.05897210911</v>
      </c>
    </row>
    <row r="64" spans="2:15" ht="15" thickBot="1" x14ac:dyDescent="0.35">
      <c r="B64" s="18" t="s">
        <v>63</v>
      </c>
      <c r="C64" s="19"/>
      <c r="D64" s="19"/>
      <c r="E64" s="36">
        <f>SUM(E54:E63)</f>
        <v>478130</v>
      </c>
      <c r="F64" s="36">
        <f>SUM(F54:F63)</f>
        <v>499128</v>
      </c>
      <c r="G64" s="36">
        <f>SUM(G54:G63)</f>
        <v>453387</v>
      </c>
      <c r="H64" s="36">
        <f>SUM(H54:H63)</f>
        <v>455984</v>
      </c>
      <c r="I64" s="36">
        <f>SUM(I54:I63)</f>
        <v>496325</v>
      </c>
      <c r="J64" s="36"/>
      <c r="K64" s="36"/>
      <c r="L64" s="36"/>
      <c r="M64" s="36"/>
      <c r="N64" s="36"/>
      <c r="O64" s="36"/>
    </row>
    <row r="65" spans="2:15" ht="15" thickTop="1" x14ac:dyDescent="0.3"/>
    <row r="66" spans="2:15" x14ac:dyDescent="0.3">
      <c r="B66" t="s">
        <v>64</v>
      </c>
      <c r="E66" s="22">
        <v>17496</v>
      </c>
      <c r="F66" s="22">
        <v>19393</v>
      </c>
      <c r="G66" s="22">
        <v>23278</v>
      </c>
      <c r="H66" s="22">
        <v>25523</v>
      </c>
      <c r="I66" s="22">
        <v>26217</v>
      </c>
      <c r="J66" s="34">
        <f t="shared" ref="J66:O66" si="78">-J25*J18/365</f>
        <v>25528.608819683734</v>
      </c>
      <c r="K66" s="34">
        <f t="shared" si="78"/>
        <v>26677.396216569494</v>
      </c>
      <c r="L66" s="34">
        <f t="shared" si="78"/>
        <v>27744.492065232276</v>
      </c>
      <c r="M66" s="34">
        <f t="shared" si="78"/>
        <v>28798.782763711108</v>
      </c>
      <c r="N66" s="34">
        <f t="shared" si="78"/>
        <v>29950.734074259555</v>
      </c>
      <c r="O66" s="34">
        <f t="shared" si="78"/>
        <v>31148.763437229929</v>
      </c>
    </row>
    <row r="67" spans="2:15" x14ac:dyDescent="0.3">
      <c r="B67" t="s">
        <v>71</v>
      </c>
      <c r="E67" s="22">
        <v>5901</v>
      </c>
      <c r="F67" s="22">
        <v>6720</v>
      </c>
      <c r="G67" s="22">
        <v>2552</v>
      </c>
      <c r="H67" s="22">
        <v>3986</v>
      </c>
      <c r="I67" s="22">
        <v>6316</v>
      </c>
      <c r="J67" s="34">
        <f>AVERAGE(E67:I67)</f>
        <v>5095</v>
      </c>
      <c r="K67" s="34">
        <f t="shared" ref="K67:O67" si="79">AVERAGE(F67:J67)</f>
        <v>4933.8</v>
      </c>
      <c r="L67" s="34">
        <f t="shared" si="79"/>
        <v>4576.5599999999995</v>
      </c>
      <c r="M67" s="34">
        <f t="shared" si="79"/>
        <v>4981.4719999999998</v>
      </c>
      <c r="N67" s="34">
        <f t="shared" si="79"/>
        <v>5180.5664000000006</v>
      </c>
      <c r="O67" s="34">
        <f t="shared" si="79"/>
        <v>4953.4796799999995</v>
      </c>
    </row>
    <row r="68" spans="2:15" x14ac:dyDescent="0.3">
      <c r="B68" t="s">
        <v>65</v>
      </c>
      <c r="E68" s="22"/>
      <c r="H68" s="22">
        <f>954+6075</f>
        <v>7029</v>
      </c>
      <c r="I68" s="22">
        <f>907+3507</f>
        <v>4414</v>
      </c>
      <c r="J68" s="34">
        <f>AVERAGE(H68:I68)</f>
        <v>5721.5</v>
      </c>
      <c r="K68" s="34">
        <f>J68</f>
        <v>5721.5</v>
      </c>
      <c r="L68" s="34">
        <f t="shared" ref="L68:O68" si="80">K68</f>
        <v>5721.5</v>
      </c>
      <c r="M68" s="34">
        <f t="shared" si="80"/>
        <v>5721.5</v>
      </c>
      <c r="N68" s="34">
        <f t="shared" si="80"/>
        <v>5721.5</v>
      </c>
      <c r="O68" s="34">
        <f t="shared" si="80"/>
        <v>5721.5</v>
      </c>
    </row>
    <row r="69" spans="2:15" x14ac:dyDescent="0.3">
      <c r="B69" t="s">
        <v>66</v>
      </c>
      <c r="E69" s="22">
        <f>4950</f>
        <v>4950</v>
      </c>
      <c r="F69" s="22">
        <f>12150+10962</f>
        <v>23112</v>
      </c>
      <c r="G69" s="22">
        <f>2454</f>
        <v>2454</v>
      </c>
      <c r="H69" s="22">
        <f>6361</f>
        <v>6361</v>
      </c>
      <c r="I69" s="22">
        <v>3559</v>
      </c>
      <c r="J69" s="34">
        <f>AVERAGE(G69:I69)</f>
        <v>4124.666666666667</v>
      </c>
      <c r="K69" s="34">
        <f>J69</f>
        <v>4124.666666666667</v>
      </c>
      <c r="L69" s="34">
        <f t="shared" ref="L69:O69" si="81">K69</f>
        <v>4124.666666666667</v>
      </c>
      <c r="M69" s="34">
        <f t="shared" si="81"/>
        <v>4124.666666666667</v>
      </c>
      <c r="N69" s="34">
        <f t="shared" si="81"/>
        <v>4124.666666666667</v>
      </c>
      <c r="O69" s="34">
        <f t="shared" si="81"/>
        <v>4124.666666666667</v>
      </c>
    </row>
    <row r="70" spans="2:15" x14ac:dyDescent="0.3">
      <c r="B70" t="s">
        <v>67</v>
      </c>
      <c r="E70" s="22">
        <f>1769+12493</f>
        <v>14262</v>
      </c>
      <c r="F70" s="22">
        <f>1810</f>
        <v>1810</v>
      </c>
      <c r="G70" s="22">
        <f>1934+9753</f>
        <v>11687</v>
      </c>
      <c r="H70" s="22">
        <f>2071+8343</f>
        <v>10414</v>
      </c>
      <c r="I70" s="22">
        <f>2184+6234</f>
        <v>8418</v>
      </c>
      <c r="J70" s="34">
        <f>I70</f>
        <v>8418</v>
      </c>
      <c r="K70" s="34">
        <f>J70</f>
        <v>8418</v>
      </c>
      <c r="L70" s="34">
        <f t="shared" ref="L70:O70" si="82">K70</f>
        <v>8418</v>
      </c>
      <c r="M70" s="34">
        <f t="shared" si="82"/>
        <v>8418</v>
      </c>
      <c r="N70" s="34">
        <f t="shared" si="82"/>
        <v>8418</v>
      </c>
      <c r="O70" s="34">
        <f t="shared" si="82"/>
        <v>8418</v>
      </c>
    </row>
    <row r="71" spans="2:15" x14ac:dyDescent="0.3">
      <c r="B71" t="s">
        <v>68</v>
      </c>
      <c r="E71" s="22">
        <v>65224</v>
      </c>
      <c r="F71" s="22">
        <v>70133</v>
      </c>
      <c r="G71" s="22">
        <v>55630</v>
      </c>
      <c r="H71" s="22">
        <v>42257</v>
      </c>
      <c r="I71" s="22">
        <v>41961</v>
      </c>
      <c r="J71" s="34">
        <f>I71</f>
        <v>41961</v>
      </c>
      <c r="K71" s="34">
        <f>J71</f>
        <v>41961</v>
      </c>
      <c r="L71" s="34">
        <f t="shared" ref="L71:O71" si="83">K71</f>
        <v>41961</v>
      </c>
      <c r="M71" s="34">
        <f t="shared" si="83"/>
        <v>41961</v>
      </c>
      <c r="N71" s="34">
        <f t="shared" si="83"/>
        <v>41961</v>
      </c>
      <c r="O71" s="34">
        <f t="shared" si="83"/>
        <v>41961</v>
      </c>
    </row>
    <row r="72" spans="2:15" x14ac:dyDescent="0.3">
      <c r="B72" t="s">
        <v>69</v>
      </c>
      <c r="E72" s="22">
        <f>9925+13849</f>
        <v>23774</v>
      </c>
      <c r="F72" s="22">
        <f>6449+13288</f>
        <v>19737</v>
      </c>
      <c r="G72" s="22">
        <f>4926+12356</f>
        <v>17282</v>
      </c>
      <c r="H72" s="22">
        <f>5119+9695</f>
        <v>14814</v>
      </c>
      <c r="I72" s="22">
        <f>4420+7778</f>
        <v>12198</v>
      </c>
      <c r="J72" s="34">
        <f>I72</f>
        <v>12198</v>
      </c>
      <c r="K72" s="34">
        <f>J72</f>
        <v>12198</v>
      </c>
      <c r="L72" s="34">
        <f t="shared" ref="L72:O72" si="84">K72</f>
        <v>12198</v>
      </c>
      <c r="M72" s="34">
        <f t="shared" si="84"/>
        <v>12198</v>
      </c>
      <c r="N72" s="34">
        <f t="shared" si="84"/>
        <v>12198</v>
      </c>
      <c r="O72" s="34">
        <f t="shared" si="84"/>
        <v>12198</v>
      </c>
    </row>
    <row r="73" spans="2:15" x14ac:dyDescent="0.3">
      <c r="B73" t="s">
        <v>70</v>
      </c>
      <c r="E73" s="22">
        <v>6342</v>
      </c>
      <c r="F73" s="22"/>
      <c r="G73" s="22">
        <v>7214</v>
      </c>
      <c r="H73" s="22"/>
      <c r="I73" s="22">
        <v>2046</v>
      </c>
      <c r="J73" s="34"/>
      <c r="K73" s="34"/>
      <c r="L73" s="34"/>
      <c r="M73" s="34"/>
      <c r="N73" s="34"/>
      <c r="O73" s="34"/>
    </row>
    <row r="74" spans="2:15" x14ac:dyDescent="0.3">
      <c r="B74" t="s">
        <v>72</v>
      </c>
      <c r="E74" s="22">
        <v>72187</v>
      </c>
      <c r="F74" s="22">
        <v>70189</v>
      </c>
      <c r="G74" s="22">
        <v>63778</v>
      </c>
      <c r="H74" s="22">
        <v>56389</v>
      </c>
      <c r="I74" s="22">
        <v>85282</v>
      </c>
      <c r="J74" s="34">
        <f>AVERAGE(E74:I74)</f>
        <v>69565</v>
      </c>
      <c r="K74" s="34">
        <f t="shared" ref="K74:O74" si="85">AVERAGE(F74:J74)</f>
        <v>69040.600000000006</v>
      </c>
      <c r="L74" s="34">
        <f t="shared" si="85"/>
        <v>68810.92</v>
      </c>
      <c r="M74" s="34">
        <f t="shared" si="85"/>
        <v>69817.503999999986</v>
      </c>
      <c r="N74" s="34">
        <f t="shared" si="85"/>
        <v>72503.204799999992</v>
      </c>
      <c r="O74" s="34">
        <f t="shared" si="85"/>
        <v>69947.445760000002</v>
      </c>
    </row>
    <row r="75" spans="2:15" x14ac:dyDescent="0.3">
      <c r="B75" t="s">
        <v>73</v>
      </c>
      <c r="E75" s="22">
        <v>17737</v>
      </c>
      <c r="F75" s="22">
        <v>19078</v>
      </c>
      <c r="G75" s="22">
        <v>14218</v>
      </c>
      <c r="H75" s="22">
        <v>13912</v>
      </c>
      <c r="I75" s="22">
        <v>13727</v>
      </c>
      <c r="J75" s="34">
        <f>AVERAGE(G75:I75)</f>
        <v>13952.333333333334</v>
      </c>
      <c r="K75" s="34">
        <f>J75</f>
        <v>13952.333333333334</v>
      </c>
      <c r="L75" s="34">
        <f t="shared" ref="L75:O75" si="86">K75</f>
        <v>13952.333333333334</v>
      </c>
      <c r="M75" s="34">
        <f t="shared" si="86"/>
        <v>13952.333333333334</v>
      </c>
      <c r="N75" s="34">
        <f t="shared" si="86"/>
        <v>13952.333333333334</v>
      </c>
      <c r="O75" s="34">
        <f t="shared" si="86"/>
        <v>13952.333333333334</v>
      </c>
    </row>
    <row r="76" spans="2:15" x14ac:dyDescent="0.3">
      <c r="B76" t="s">
        <v>61</v>
      </c>
      <c r="E76" s="22">
        <v>9198</v>
      </c>
      <c r="F76" s="22">
        <v>10494</v>
      </c>
      <c r="G76" s="22">
        <v>7372</v>
      </c>
      <c r="H76" s="22">
        <v>4210</v>
      </c>
      <c r="I76" s="22">
        <v>2757</v>
      </c>
      <c r="J76" s="34">
        <f>I76</f>
        <v>2757</v>
      </c>
      <c r="K76" s="34">
        <f>J76</f>
        <v>2757</v>
      </c>
      <c r="L76" s="34">
        <f t="shared" ref="L76:O76" si="87">K76</f>
        <v>2757</v>
      </c>
      <c r="M76" s="34">
        <f t="shared" si="87"/>
        <v>2757</v>
      </c>
      <c r="N76" s="34">
        <f t="shared" si="87"/>
        <v>2757</v>
      </c>
      <c r="O76" s="34">
        <f t="shared" si="87"/>
        <v>2757</v>
      </c>
    </row>
    <row r="77" spans="2:15" x14ac:dyDescent="0.3">
      <c r="B77" t="s">
        <v>74</v>
      </c>
      <c r="E77" s="22">
        <v>10419</v>
      </c>
      <c r="F77" s="22">
        <v>9927</v>
      </c>
      <c r="G77" s="22">
        <v>8411</v>
      </c>
      <c r="H77" s="22">
        <v>9499</v>
      </c>
      <c r="I77" s="22">
        <v>11651</v>
      </c>
      <c r="J77" s="34">
        <f>AVERAGE(E77:I77)</f>
        <v>9981.4</v>
      </c>
      <c r="K77" s="34">
        <f>J77</f>
        <v>9981.4</v>
      </c>
      <c r="L77" s="34">
        <f t="shared" ref="L77:O77" si="88">K77</f>
        <v>9981.4</v>
      </c>
      <c r="M77" s="34">
        <f t="shared" si="88"/>
        <v>9981.4</v>
      </c>
      <c r="N77" s="34">
        <f t="shared" si="88"/>
        <v>9981.4</v>
      </c>
      <c r="O77" s="34">
        <f t="shared" si="88"/>
        <v>9981.4</v>
      </c>
    </row>
    <row r="78" spans="2:15" x14ac:dyDescent="0.3">
      <c r="B78" t="s">
        <v>28</v>
      </c>
      <c r="E78" s="22">
        <v>49654</v>
      </c>
      <c r="F78" s="22">
        <v>51477</v>
      </c>
      <c r="G78" s="22">
        <v>44617</v>
      </c>
      <c r="H78" s="22">
        <v>63265</v>
      </c>
      <c r="I78" s="22">
        <v>64059</v>
      </c>
      <c r="J78" s="34">
        <f>I78</f>
        <v>64059</v>
      </c>
      <c r="K78" s="34">
        <f>J78</f>
        <v>64059</v>
      </c>
      <c r="L78" s="34">
        <f t="shared" ref="L78:O78" si="89">K78</f>
        <v>64059</v>
      </c>
      <c r="M78" s="34">
        <f t="shared" si="89"/>
        <v>64059</v>
      </c>
      <c r="N78" s="34">
        <f t="shared" si="89"/>
        <v>64059</v>
      </c>
      <c r="O78" s="34">
        <f t="shared" si="89"/>
        <v>64059</v>
      </c>
    </row>
    <row r="79" spans="2:15" x14ac:dyDescent="0.3">
      <c r="B79" s="6" t="s">
        <v>75</v>
      </c>
      <c r="E79" s="24">
        <v>180986</v>
      </c>
      <c r="F79" s="24">
        <v>197058</v>
      </c>
      <c r="G79" s="24">
        <v>194894</v>
      </c>
      <c r="H79" s="24">
        <v>198325</v>
      </c>
      <c r="I79" s="24">
        <v>213720</v>
      </c>
    </row>
    <row r="80" spans="2:15" ht="15" thickBot="1" x14ac:dyDescent="0.35">
      <c r="B80" s="18" t="s">
        <v>76</v>
      </c>
      <c r="C80" s="19"/>
      <c r="D80" s="19"/>
      <c r="E80" s="36">
        <f>SUM(E66:E79)</f>
        <v>478130</v>
      </c>
      <c r="F80" s="36">
        <f t="shared" ref="F80:I80" si="90">SUM(F66:F79)</f>
        <v>499128</v>
      </c>
      <c r="G80" s="36">
        <f t="shared" si="90"/>
        <v>453387</v>
      </c>
      <c r="H80" s="36">
        <f t="shared" si="90"/>
        <v>455984</v>
      </c>
      <c r="I80" s="36">
        <f t="shared" si="90"/>
        <v>496325</v>
      </c>
      <c r="J80" s="36"/>
      <c r="K80" s="36"/>
      <c r="L80" s="36"/>
      <c r="M80" s="36"/>
      <c r="N80" s="36"/>
      <c r="O80" s="36"/>
    </row>
    <row r="81" spans="2:15" ht="15" thickTop="1" x14ac:dyDescent="0.3">
      <c r="B81" s="6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</row>
    <row r="83" spans="2:15" ht="25.8" x14ac:dyDescent="0.5">
      <c r="B83" s="15" t="s">
        <v>186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5" spans="2:15" ht="15" thickBot="1" x14ac:dyDescent="0.35">
      <c r="B85" s="18" t="s">
        <v>39</v>
      </c>
      <c r="C85" s="19"/>
      <c r="D85" s="19"/>
      <c r="E85" s="25">
        <f>E35</f>
        <v>67766</v>
      </c>
      <c r="F85" s="25">
        <f t="shared" ref="F85:O85" si="91">F35</f>
        <v>148282</v>
      </c>
      <c r="G85" s="25">
        <f t="shared" si="91"/>
        <v>88710</v>
      </c>
      <c r="H85" s="25">
        <f t="shared" si="91"/>
        <v>70706</v>
      </c>
      <c r="I85" s="25">
        <f t="shared" si="91"/>
        <v>57029</v>
      </c>
      <c r="J85" s="25">
        <f t="shared" si="91"/>
        <v>72991.12824709453</v>
      </c>
      <c r="K85" s="25">
        <f t="shared" si="91"/>
        <v>76604.560382554788</v>
      </c>
      <c r="L85" s="25">
        <f t="shared" si="91"/>
        <v>79099.08206407055</v>
      </c>
      <c r="M85" s="25">
        <f t="shared" si="91"/>
        <v>80282.494247761468</v>
      </c>
      <c r="N85" s="25">
        <f t="shared" si="91"/>
        <v>82613.369930529298</v>
      </c>
      <c r="O85" s="25">
        <f t="shared" si="91"/>
        <v>84668.152905714494</v>
      </c>
    </row>
    <row r="86" spans="2:15" ht="15" thickTop="1" x14ac:dyDescent="0.3">
      <c r="B86" t="s">
        <v>123</v>
      </c>
      <c r="E86" s="34">
        <f>E40</f>
        <v>-4627</v>
      </c>
      <c r="F86" s="34">
        <f t="shared" ref="F86:O86" si="92">F40</f>
        <v>-25320</v>
      </c>
      <c r="G86" s="34">
        <f t="shared" si="92"/>
        <v>-15185</v>
      </c>
      <c r="H86" s="34">
        <f t="shared" si="92"/>
        <v>-15000</v>
      </c>
      <c r="I86" s="34">
        <f t="shared" si="92"/>
        <v>-3793</v>
      </c>
      <c r="J86" s="34">
        <f t="shared" si="92"/>
        <v>-8358.8866721222894</v>
      </c>
      <c r="K86" s="34">
        <f t="shared" si="92"/>
        <v>-8828.632849732121</v>
      </c>
      <c r="L86" s="34">
        <f t="shared" si="92"/>
        <v>-9152.9206683291704</v>
      </c>
      <c r="M86" s="34">
        <f t="shared" si="92"/>
        <v>-9306.76425220899</v>
      </c>
      <c r="N86" s="34">
        <f t="shared" si="92"/>
        <v>-9609.7780909688063</v>
      </c>
      <c r="O86" s="34">
        <f t="shared" si="92"/>
        <v>-9876.8998777428824</v>
      </c>
    </row>
    <row r="87" spans="2:15" x14ac:dyDescent="0.3">
      <c r="B87" s="20" t="s">
        <v>50</v>
      </c>
      <c r="C87" s="11"/>
      <c r="D87" s="11"/>
      <c r="E87" s="23">
        <f>E85+E86</f>
        <v>63139</v>
      </c>
      <c r="F87" s="23">
        <f t="shared" ref="F87:I87" si="93">F85+F86</f>
        <v>122962</v>
      </c>
      <c r="G87" s="23">
        <f t="shared" si="93"/>
        <v>73525</v>
      </c>
      <c r="H87" s="23">
        <f t="shared" si="93"/>
        <v>55706</v>
      </c>
      <c r="I87" s="23">
        <f t="shared" si="93"/>
        <v>53236</v>
      </c>
      <c r="J87" s="23">
        <f t="shared" ref="J87" si="94">J85+J86</f>
        <v>64632.241574972242</v>
      </c>
      <c r="K87" s="23">
        <f t="shared" ref="K87" si="95">K85+K86</f>
        <v>67775.927532822665</v>
      </c>
      <c r="L87" s="23">
        <f t="shared" ref="L87" si="96">L85+L86</f>
        <v>69946.161395741379</v>
      </c>
      <c r="M87" s="23">
        <f t="shared" ref="M87" si="97">M85+M86</f>
        <v>70975.72999555248</v>
      </c>
      <c r="N87" s="23">
        <f t="shared" ref="N87" si="98">N85+N86</f>
        <v>73003.591839560497</v>
      </c>
      <c r="O87" s="23">
        <f t="shared" ref="O87" si="99">O85+O86</f>
        <v>74791.253027971616</v>
      </c>
    </row>
    <row r="88" spans="2:15" x14ac:dyDescent="0.3">
      <c r="B88" s="6" t="s">
        <v>124</v>
      </c>
      <c r="E88" s="35">
        <f>-E33</f>
        <v>16597</v>
      </c>
      <c r="F88" s="35">
        <f t="shared" ref="F88:O88" si="100">-F33</f>
        <v>16379</v>
      </c>
      <c r="G88" s="35">
        <f t="shared" si="100"/>
        <v>16379</v>
      </c>
      <c r="H88" s="35">
        <f t="shared" si="100"/>
        <v>15300</v>
      </c>
      <c r="I88" s="35">
        <f t="shared" si="100"/>
        <v>16525</v>
      </c>
      <c r="J88" s="35">
        <f t="shared" si="100"/>
        <v>16115.98473759552</v>
      </c>
      <c r="K88" s="35">
        <f t="shared" si="100"/>
        <v>18088.471686446312</v>
      </c>
      <c r="L88" s="35">
        <f t="shared" si="100"/>
        <v>20169.013687690596</v>
      </c>
      <c r="M88" s="35">
        <f t="shared" si="100"/>
        <v>22363.530118566621</v>
      </c>
      <c r="N88" s="35">
        <f t="shared" si="100"/>
        <v>24678.264626451899</v>
      </c>
      <c r="O88" s="35">
        <f t="shared" si="100"/>
        <v>27119.802892745967</v>
      </c>
    </row>
    <row r="89" spans="2:15" x14ac:dyDescent="0.3">
      <c r="B89" s="6" t="s">
        <v>125</v>
      </c>
      <c r="E89" s="35">
        <f>-E19</f>
        <v>-21720</v>
      </c>
      <c r="F89" s="35">
        <f t="shared" ref="F89:I89" si="101">-F19</f>
        <v>-27301</v>
      </c>
      <c r="G89" s="35">
        <f t="shared" si="101"/>
        <v>-28184</v>
      </c>
      <c r="H89" s="35">
        <f t="shared" si="101"/>
        <v>-29446</v>
      </c>
      <c r="I89" s="35">
        <f t="shared" si="101"/>
        <v>-35098</v>
      </c>
      <c r="J89" s="35">
        <f t="shared" ref="J89:O89" si="102">-J19</f>
        <v>-37020.707894780462</v>
      </c>
      <c r="K89" s="35">
        <f t="shared" si="102"/>
        <v>-39048.743889414225</v>
      </c>
      <c r="L89" s="35">
        <f t="shared" si="102"/>
        <v>-41187.877975613927</v>
      </c>
      <c r="M89" s="35">
        <f t="shared" si="102"/>
        <v>-43444.196231724454</v>
      </c>
      <c r="N89" s="35">
        <f t="shared" si="102"/>
        <v>-45824.11813830398</v>
      </c>
      <c r="O89" s="35">
        <f t="shared" si="102"/>
        <v>-48334.414842272003</v>
      </c>
    </row>
    <row r="90" spans="2:15" x14ac:dyDescent="0.3">
      <c r="B90" s="6" t="s">
        <v>126</v>
      </c>
      <c r="F90" s="35">
        <f>F91+F95</f>
        <v>23497</v>
      </c>
      <c r="G90" s="35">
        <f t="shared" ref="G90:I90" si="103">G91+G95</f>
        <v>-46758</v>
      </c>
      <c r="H90" s="35">
        <f t="shared" si="103"/>
        <v>18416</v>
      </c>
      <c r="I90" s="35">
        <f t="shared" si="103"/>
        <v>-1048</v>
      </c>
      <c r="J90" s="35">
        <f t="shared" ref="J90" si="104">J91+J95</f>
        <v>-18335.884036100026</v>
      </c>
      <c r="K90" s="35">
        <f t="shared" ref="K90" si="105">K91+K95</f>
        <v>-206.94058162450779</v>
      </c>
      <c r="L90" s="35">
        <f t="shared" ref="L90" si="106">L91+L95</f>
        <v>-2371.9275050214719</v>
      </c>
      <c r="M90" s="35">
        <f t="shared" ref="M90" si="107">M91+M95</f>
        <v>-1619.8529250737233</v>
      </c>
      <c r="N90" s="35">
        <f t="shared" ref="N90" si="108">N91+N95</f>
        <v>408.58078629659713</v>
      </c>
      <c r="O90" s="35">
        <f t="shared" ref="O90" si="109">O91+O95</f>
        <v>-1081.3746834306276</v>
      </c>
    </row>
    <row r="91" spans="2:15" x14ac:dyDescent="0.3">
      <c r="B91" s="6" t="s">
        <v>127</v>
      </c>
      <c r="F91" s="35">
        <f>SUM(F92:F94)</f>
        <v>11050</v>
      </c>
      <c r="G91" s="35">
        <f t="shared" ref="G91:I91" si="110">SUM(G92:G94)</f>
        <v>-6546</v>
      </c>
      <c r="H91" s="35">
        <f t="shared" si="110"/>
        <v>13110</v>
      </c>
      <c r="I91" s="35">
        <f t="shared" si="110"/>
        <v>4660</v>
      </c>
      <c r="J91" s="35">
        <f t="shared" ref="J91" si="111">SUM(J92:J94)</f>
        <v>-16768.892855783761</v>
      </c>
      <c r="K91" s="35">
        <f t="shared" ref="K91" si="112">SUM(K92:K94)</f>
        <v>-1355.727978510268</v>
      </c>
      <c r="L91" s="35">
        <f t="shared" ref="L91" si="113">SUM(L92:L94)</f>
        <v>-3439.0233536842543</v>
      </c>
      <c r="M91" s="35">
        <f t="shared" ref="M91" si="114">SUM(M92:M94)</f>
        <v>-2674.1436235525548</v>
      </c>
      <c r="N91" s="35">
        <f t="shared" ref="N91" si="115">SUM(N92:N94)</f>
        <v>-743.37052425185038</v>
      </c>
      <c r="O91" s="35">
        <f t="shared" ref="O91" si="116">SUM(O92:O94)</f>
        <v>-2279.4040464010013</v>
      </c>
    </row>
    <row r="92" spans="2:15" x14ac:dyDescent="0.3">
      <c r="B92" t="s">
        <v>128</v>
      </c>
      <c r="F92" s="34">
        <f>-(F56-E56)</f>
        <v>4104</v>
      </c>
      <c r="G92" s="34">
        <f t="shared" ref="G92:I92" si="117">-(G56-F56)</f>
        <v>-697</v>
      </c>
      <c r="H92" s="34">
        <f t="shared" si="117"/>
        <v>2220</v>
      </c>
      <c r="I92" s="34">
        <f t="shared" si="117"/>
        <v>5717</v>
      </c>
      <c r="J92" s="34">
        <f t="shared" ref="J92:O92" si="118">-(J56-I56)</f>
        <v>-4816.4839823702896</v>
      </c>
      <c r="K92" s="34">
        <f t="shared" si="118"/>
        <v>-873.74177920666261</v>
      </c>
      <c r="L92" s="34">
        <f t="shared" si="118"/>
        <v>-811.60903046307794</v>
      </c>
      <c r="M92" s="34">
        <f t="shared" si="118"/>
        <v>-801.86972209752275</v>
      </c>
      <c r="N92" s="34">
        <f t="shared" si="118"/>
        <v>-876.14818056550212</v>
      </c>
      <c r="O92" s="34">
        <f t="shared" si="118"/>
        <v>-911.1941077881238</v>
      </c>
    </row>
    <row r="93" spans="2:15" x14ac:dyDescent="0.3">
      <c r="B93" t="s">
        <v>129</v>
      </c>
      <c r="F93" s="34">
        <f>-(F58-E58)</f>
        <v>-3326</v>
      </c>
      <c r="G93" s="34">
        <f t="shared" ref="G93:I93" si="119">-(G58-F58)</f>
        <v>1043</v>
      </c>
      <c r="H93" s="34">
        <f t="shared" si="119"/>
        <v>707</v>
      </c>
      <c r="I93" s="34">
        <f t="shared" si="119"/>
        <v>-5834</v>
      </c>
      <c r="J93" s="34">
        <f t="shared" ref="J93:O93" si="120">-(J58-I58)</f>
        <v>3212.8136265865287</v>
      </c>
      <c r="K93" s="34">
        <f t="shared" si="120"/>
        <v>-1138.5083868036018</v>
      </c>
      <c r="L93" s="34">
        <f t="shared" si="120"/>
        <v>-1057.5477904086802</v>
      </c>
      <c r="M93" s="34">
        <f t="shared" si="120"/>
        <v>-1044.8572169237887</v>
      </c>
      <c r="N93" s="34">
        <f t="shared" si="120"/>
        <v>-1141.6439907019812</v>
      </c>
      <c r="O93" s="34">
        <f t="shared" si="120"/>
        <v>-1187.309750330056</v>
      </c>
    </row>
    <row r="94" spans="2:15" x14ac:dyDescent="0.3">
      <c r="B94" t="s">
        <v>130</v>
      </c>
      <c r="F94" s="34">
        <f>-(F55-E55)+(F57-E57)+(F59-E59)+(F60-E60)+(F61-E61)+(F62-E62)</f>
        <v>10272</v>
      </c>
      <c r="G94" s="34">
        <f t="shared" ref="G94:I94" si="121">-(G55-F55)+(G57-F57)+(G59-F59)+(G60-F60)+(G61-F61)+(G62-F62)</f>
        <v>-6892</v>
      </c>
      <c r="H94" s="34">
        <f t="shared" si="121"/>
        <v>10183</v>
      </c>
      <c r="I94" s="34">
        <f t="shared" si="121"/>
        <v>4777</v>
      </c>
      <c r="J94" s="34">
        <f t="shared" ref="J94:O94" si="122">-(J55-I55)+(J57-I57)+(J59-I59)+(J60-I60)+(J61-I61)+(J62-I62)</f>
        <v>-15165.2225</v>
      </c>
      <c r="K94" s="34">
        <f t="shared" si="122"/>
        <v>656.52218749999633</v>
      </c>
      <c r="L94" s="34">
        <f t="shared" si="122"/>
        <v>-1569.8665328124964</v>
      </c>
      <c r="M94" s="34">
        <f t="shared" si="122"/>
        <v>-827.41668453124339</v>
      </c>
      <c r="N94" s="34">
        <f t="shared" si="122"/>
        <v>1274.421647015633</v>
      </c>
      <c r="O94" s="34">
        <f t="shared" si="122"/>
        <v>-180.90018828282166</v>
      </c>
    </row>
    <row r="95" spans="2:15" x14ac:dyDescent="0.3">
      <c r="B95" s="6" t="s">
        <v>131</v>
      </c>
      <c r="F95" s="35">
        <f>SUM(F96:F98)</f>
        <v>12447</v>
      </c>
      <c r="G95" s="35">
        <f t="shared" ref="G95:I95" si="123">SUM(G96:G98)</f>
        <v>-40212</v>
      </c>
      <c r="H95" s="35">
        <f t="shared" si="123"/>
        <v>5306</v>
      </c>
      <c r="I95" s="35">
        <f t="shared" si="123"/>
        <v>-5708</v>
      </c>
      <c r="J95" s="35">
        <f t="shared" ref="J95" si="124">SUM(J96:J98)</f>
        <v>-1566.9911803162659</v>
      </c>
      <c r="K95" s="35">
        <f t="shared" ref="K95" si="125">SUM(K96:K98)</f>
        <v>1148.7873968857602</v>
      </c>
      <c r="L95" s="35">
        <f t="shared" ref="L95" si="126">SUM(L96:L98)</f>
        <v>1067.0958486627824</v>
      </c>
      <c r="M95" s="35">
        <f t="shared" ref="M95" si="127">SUM(M96:M98)</f>
        <v>1054.2906984788315</v>
      </c>
      <c r="N95" s="35">
        <f t="shared" ref="N95" si="128">SUM(N96:N98)</f>
        <v>1151.9513105484475</v>
      </c>
      <c r="O95" s="35">
        <f t="shared" ref="O95" si="129">SUM(O96:O98)</f>
        <v>1198.0293629703738</v>
      </c>
    </row>
    <row r="96" spans="2:15" x14ac:dyDescent="0.3">
      <c r="B96" t="s">
        <v>132</v>
      </c>
      <c r="F96" s="34">
        <f>(F66-E66)</f>
        <v>1897</v>
      </c>
      <c r="G96" s="34">
        <f t="shared" ref="G96:I96" si="130">(G66-F66)</f>
        <v>3885</v>
      </c>
      <c r="H96" s="34">
        <f t="shared" si="130"/>
        <v>2245</v>
      </c>
      <c r="I96" s="34">
        <f t="shared" si="130"/>
        <v>694</v>
      </c>
      <c r="J96" s="34">
        <f t="shared" ref="J96:O96" si="131">(J66-I66)</f>
        <v>-688.3911803162664</v>
      </c>
      <c r="K96" s="34">
        <f t="shared" si="131"/>
        <v>1148.7873968857602</v>
      </c>
      <c r="L96" s="34">
        <f t="shared" si="131"/>
        <v>1067.0958486627824</v>
      </c>
      <c r="M96" s="34">
        <f t="shared" si="131"/>
        <v>1054.2906984788315</v>
      </c>
      <c r="N96" s="34">
        <f t="shared" si="131"/>
        <v>1151.9513105484475</v>
      </c>
      <c r="O96" s="34">
        <f t="shared" si="131"/>
        <v>1198.0293629703738</v>
      </c>
    </row>
    <row r="97" spans="2:15" x14ac:dyDescent="0.3">
      <c r="B97" t="s">
        <v>133</v>
      </c>
      <c r="F97" s="34">
        <f>(F69-E69)+(F70-E70)+(F76-E76)</f>
        <v>7006</v>
      </c>
      <c r="G97" s="34">
        <f t="shared" ref="G97:I97" si="132">(G69-F69)+(G70-F70)+(G76-F76)</f>
        <v>-13903</v>
      </c>
      <c r="H97" s="34">
        <f t="shared" si="132"/>
        <v>-528</v>
      </c>
      <c r="I97" s="34">
        <f t="shared" si="132"/>
        <v>-6251</v>
      </c>
      <c r="J97" s="34">
        <f t="shared" ref="J97:O97" si="133">(J69-I69)+(J70-I70)+(J76-I76)</f>
        <v>565.66666666666697</v>
      </c>
      <c r="K97" s="34">
        <f t="shared" si="133"/>
        <v>0</v>
      </c>
      <c r="L97" s="34">
        <f t="shared" si="133"/>
        <v>0</v>
      </c>
      <c r="M97" s="34">
        <f t="shared" si="133"/>
        <v>0</v>
      </c>
      <c r="N97" s="34">
        <f t="shared" si="133"/>
        <v>0</v>
      </c>
      <c r="O97" s="34">
        <f t="shared" si="133"/>
        <v>0</v>
      </c>
    </row>
    <row r="98" spans="2:15" x14ac:dyDescent="0.3">
      <c r="B98" t="s">
        <v>134</v>
      </c>
      <c r="F98" s="34">
        <f>(F71-E71)+(F72-E72)+(F75-E75)+(F77-E77)+(F78-E78)</f>
        <v>3544</v>
      </c>
      <c r="G98" s="34">
        <f t="shared" ref="G98:I98" si="134">(G71-F71)+(G72-F72)+(G75-F75)+(G77-F77)+(G78-F78)</f>
        <v>-30194</v>
      </c>
      <c r="H98" s="34">
        <f t="shared" si="134"/>
        <v>3589</v>
      </c>
      <c r="I98" s="34">
        <f t="shared" si="134"/>
        <v>-151</v>
      </c>
      <c r="J98" s="34">
        <f t="shared" ref="J98:O98" si="135">(J71-I71)+(J72-I72)+(J75-I75)+(J77-I77)+(J78-I78)</f>
        <v>-1444.2666666666664</v>
      </c>
      <c r="K98" s="34">
        <f t="shared" si="135"/>
        <v>0</v>
      </c>
      <c r="L98" s="34">
        <f t="shared" si="135"/>
        <v>0</v>
      </c>
      <c r="M98" s="34">
        <f t="shared" si="135"/>
        <v>0</v>
      </c>
      <c r="N98" s="34">
        <f t="shared" si="135"/>
        <v>0</v>
      </c>
      <c r="O98" s="34">
        <f t="shared" si="135"/>
        <v>0</v>
      </c>
    </row>
    <row r="99" spans="2:15" ht="15" thickBot="1" x14ac:dyDescent="0.35">
      <c r="B99" s="18" t="s">
        <v>135</v>
      </c>
      <c r="C99" s="19"/>
      <c r="D99" s="19"/>
      <c r="E99" s="25"/>
      <c r="F99" s="25">
        <f>SUM(F87:F90)</f>
        <v>135537</v>
      </c>
      <c r="G99" s="25">
        <f t="shared" ref="G99:I99" si="136">SUM(G87:G90)</f>
        <v>14962</v>
      </c>
      <c r="H99" s="25">
        <f t="shared" si="136"/>
        <v>59976</v>
      </c>
      <c r="I99" s="25">
        <f t="shared" si="136"/>
        <v>33615</v>
      </c>
      <c r="J99" s="25">
        <f t="shared" ref="J99:O99" si="137">SUM(J87:J90)</f>
        <v>25391.634381687269</v>
      </c>
      <c r="K99" s="25">
        <f t="shared" si="137"/>
        <v>46608.714748230246</v>
      </c>
      <c r="L99" s="25">
        <f t="shared" si="137"/>
        <v>46555.369602796571</v>
      </c>
      <c r="M99" s="25">
        <f t="shared" si="137"/>
        <v>48275.210957320916</v>
      </c>
      <c r="N99" s="25">
        <f t="shared" si="137"/>
        <v>52266.319114005011</v>
      </c>
      <c r="O99" s="25">
        <f t="shared" si="137"/>
        <v>52495.266395014951</v>
      </c>
    </row>
    <row r="100" spans="2:15" ht="15" thickTop="1" x14ac:dyDescent="0.3">
      <c r="B100" t="s">
        <v>136</v>
      </c>
      <c r="F100" s="34">
        <f>(F67+F74)-(E67+E74)</f>
        <v>-1179</v>
      </c>
      <c r="G100" s="34">
        <f t="shared" ref="G100:I100" si="138">(G67+G74)-(F67+F74)</f>
        <v>-10579</v>
      </c>
      <c r="H100" s="34">
        <f t="shared" si="138"/>
        <v>-5955</v>
      </c>
      <c r="I100" s="34">
        <f t="shared" si="138"/>
        <v>31223</v>
      </c>
      <c r="J100" s="34">
        <f t="shared" ref="J100:O100" si="139">(J67+J74)-(I67+I74)</f>
        <v>-16938</v>
      </c>
      <c r="K100" s="34">
        <f t="shared" si="139"/>
        <v>-685.59999999999127</v>
      </c>
      <c r="L100" s="34">
        <f t="shared" si="139"/>
        <v>-586.92000000001281</v>
      </c>
      <c r="M100" s="34">
        <f t="shared" si="139"/>
        <v>1411.4959999999846</v>
      </c>
      <c r="N100" s="34">
        <f t="shared" si="139"/>
        <v>2884.7952000000078</v>
      </c>
      <c r="O100" s="34">
        <f t="shared" si="139"/>
        <v>-2782.845759999982</v>
      </c>
    </row>
    <row r="101" spans="2:15" x14ac:dyDescent="0.3">
      <c r="B101" t="s">
        <v>137</v>
      </c>
      <c r="F101" s="34">
        <f>SUM(F36:F38)</f>
        <v>10865</v>
      </c>
      <c r="G101" s="34">
        <f t="shared" ref="G101:I101" si="140">SUM(G36:G38)</f>
        <v>12994</v>
      </c>
      <c r="H101" s="34">
        <f t="shared" si="140"/>
        <v>-15152</v>
      </c>
      <c r="I101" s="34">
        <f t="shared" si="140"/>
        <v>-22805</v>
      </c>
      <c r="J101" s="34">
        <f t="shared" ref="J101:O101" si="141">SUM(J36:J38)</f>
        <v>-8692</v>
      </c>
      <c r="K101" s="34">
        <f t="shared" si="141"/>
        <v>-8692</v>
      </c>
      <c r="L101" s="34">
        <f t="shared" si="141"/>
        <v>-8692</v>
      </c>
      <c r="M101" s="34">
        <f t="shared" si="141"/>
        <v>-8692</v>
      </c>
      <c r="N101" s="34">
        <f t="shared" si="141"/>
        <v>-8692</v>
      </c>
      <c r="O101" s="34">
        <f t="shared" si="141"/>
        <v>-8692</v>
      </c>
    </row>
    <row r="102" spans="2:15" x14ac:dyDescent="0.3">
      <c r="B102" t="s">
        <v>138</v>
      </c>
      <c r="F102" s="34">
        <f>F86</f>
        <v>-25320</v>
      </c>
      <c r="G102" s="34">
        <f t="shared" ref="G102:I102" si="142">G86</f>
        <v>-15185</v>
      </c>
      <c r="H102" s="34">
        <f t="shared" si="142"/>
        <v>-15000</v>
      </c>
      <c r="I102" s="34">
        <f t="shared" si="142"/>
        <v>-3793</v>
      </c>
      <c r="J102" s="34">
        <f t="shared" ref="J102:O102" si="143">J86</f>
        <v>-8358.8866721222894</v>
      </c>
      <c r="K102" s="34">
        <f t="shared" si="143"/>
        <v>-8828.632849732121</v>
      </c>
      <c r="L102" s="34">
        <f t="shared" si="143"/>
        <v>-9152.9206683291704</v>
      </c>
      <c r="M102" s="34">
        <f t="shared" si="143"/>
        <v>-9306.76425220899</v>
      </c>
      <c r="N102" s="34">
        <f t="shared" si="143"/>
        <v>-9609.7780909688063</v>
      </c>
      <c r="O102" s="34">
        <f t="shared" si="143"/>
        <v>-9876.8998777428824</v>
      </c>
    </row>
    <row r="103" spans="2:15" ht="15" thickBot="1" x14ac:dyDescent="0.35">
      <c r="B103" s="18" t="s">
        <v>139</v>
      </c>
      <c r="C103" s="19"/>
      <c r="D103" s="19"/>
      <c r="E103" s="25"/>
      <c r="F103" s="25">
        <f>SUM(F99:F102)</f>
        <v>119903</v>
      </c>
      <c r="G103" s="25">
        <f t="shared" ref="G103:I103" si="144">SUM(G99:G102)</f>
        <v>2192</v>
      </c>
      <c r="H103" s="25">
        <f t="shared" si="144"/>
        <v>23869</v>
      </c>
      <c r="I103" s="25">
        <f t="shared" si="144"/>
        <v>38240</v>
      </c>
      <c r="J103" s="25">
        <f t="shared" ref="J103" si="145">SUM(J99:J102)</f>
        <v>-8597.2522904350208</v>
      </c>
      <c r="K103" s="25">
        <f t="shared" ref="K103" si="146">SUM(K99:K102)</f>
        <v>28402.481898498132</v>
      </c>
      <c r="L103" s="25">
        <f t="shared" ref="L103" si="147">SUM(L99:L102)</f>
        <v>28123.528934467387</v>
      </c>
      <c r="M103" s="25">
        <f t="shared" ref="M103" si="148">SUM(M99:M102)</f>
        <v>31687.942705111913</v>
      </c>
      <c r="N103" s="25">
        <f t="shared" ref="N103" si="149">SUM(N99:N102)</f>
        <v>36849.336223036211</v>
      </c>
      <c r="O103" s="25">
        <f t="shared" ref="O103" si="150">SUM(O99:O102)</f>
        <v>31143.520757272086</v>
      </c>
    </row>
    <row r="104" spans="2:15" ht="15" thickTop="1" x14ac:dyDescent="0.3">
      <c r="B104" s="6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</sheetData>
  <mergeCells count="1">
    <mergeCell ref="J1:O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2F8C-4272-4479-9AD8-4EB94AC61397}">
  <dimension ref="A1:O67"/>
  <sheetViews>
    <sheetView showGridLines="0" workbookViewId="0">
      <pane ySplit="2" topLeftCell="A53" activePane="bottomLeft" state="frozen"/>
      <selection pane="bottomLeft" activeCell="N64" sqref="N64"/>
    </sheetView>
  </sheetViews>
  <sheetFormatPr defaultRowHeight="14.4" x14ac:dyDescent="0.3"/>
  <cols>
    <col min="1" max="1" width="3.88671875" customWidth="1"/>
    <col min="3" max="3" width="31.6640625" customWidth="1"/>
    <col min="5" max="6" width="10.109375" bestFit="1" customWidth="1"/>
  </cols>
  <sheetData>
    <row r="1" spans="1:15" ht="18" x14ac:dyDescent="0.35">
      <c r="A1" s="2"/>
      <c r="B1" s="2"/>
      <c r="C1" s="2"/>
      <c r="D1" s="2"/>
      <c r="E1" s="2"/>
      <c r="F1" s="2"/>
      <c r="G1" s="2"/>
      <c r="H1" s="2"/>
      <c r="I1" s="2"/>
      <c r="J1" s="93" t="s">
        <v>5</v>
      </c>
      <c r="K1" s="93"/>
      <c r="L1" s="93"/>
      <c r="M1" s="93"/>
      <c r="N1" s="93"/>
      <c r="O1" s="93"/>
    </row>
    <row r="2" spans="1:15" ht="25.8" x14ac:dyDescent="0.5">
      <c r="A2" s="2"/>
      <c r="B2" s="3" t="s">
        <v>13</v>
      </c>
      <c r="C2" s="2"/>
      <c r="D2" s="2"/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  <c r="J2" s="17">
        <v>2025</v>
      </c>
      <c r="K2" s="17">
        <v>2026</v>
      </c>
      <c r="L2" s="17">
        <v>2027</v>
      </c>
      <c r="M2" s="17">
        <v>2028</v>
      </c>
      <c r="N2" s="17">
        <v>2029</v>
      </c>
      <c r="O2" s="17">
        <v>2030</v>
      </c>
    </row>
    <row r="5" spans="1:15" ht="25.8" x14ac:dyDescent="0.5">
      <c r="B5" s="15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15" x14ac:dyDescent="0.3">
      <c r="B7" t="s">
        <v>92</v>
      </c>
      <c r="E7" s="37">
        <f>E16/'Dados Financeiros'!E24</f>
        <v>0.69131190016399968</v>
      </c>
      <c r="F7" s="37">
        <f>F16/'Dados Financeiros'!F24</f>
        <v>0.70945476349463754</v>
      </c>
      <c r="G7" s="37">
        <f>G16/'Dados Financeiros'!G24</f>
        <v>0.64330619669062461</v>
      </c>
      <c r="H7" s="37">
        <f>H16/'Dados Financeiros'!H24</f>
        <v>0.66327992079436338</v>
      </c>
      <c r="I7" s="37">
        <f>I16/'Dados Financeiros'!I24</f>
        <v>0.65209582291691948</v>
      </c>
    </row>
    <row r="8" spans="1:15" x14ac:dyDescent="0.3">
      <c r="B8" t="s">
        <v>91</v>
      </c>
      <c r="E8" s="37">
        <f>E17/'Dados Financeiros'!E24</f>
        <v>0.1069539733524828</v>
      </c>
      <c r="F8" s="37">
        <f>F17/'Dados Financeiros'!F24</f>
        <v>0.12929436775187036</v>
      </c>
      <c r="G8" s="37">
        <f>G17/'Dados Financeiros'!G24</f>
        <v>0.14238349197379341</v>
      </c>
      <c r="H8" s="37">
        <f>H17/'Dados Financeiros'!H24</f>
        <v>0.13923947209058665</v>
      </c>
      <c r="I8" s="37">
        <f>I17/'Dados Financeiros'!I24</f>
        <v>0.15484090191985631</v>
      </c>
    </row>
    <row r="9" spans="1:15" x14ac:dyDescent="0.3">
      <c r="B9" t="s">
        <v>90</v>
      </c>
      <c r="E9" s="37">
        <f>E18/'Dados Financeiros'!E24</f>
        <v>1.3799260545953866E-2</v>
      </c>
      <c r="F9" s="37">
        <f>F18/'Dados Financeiros'!F24</f>
        <v>1.0050285496245622E-2</v>
      </c>
      <c r="G9" s="37">
        <f>G18/'Dados Financeiros'!G24</f>
        <v>1.070602362830452E-2</v>
      </c>
      <c r="H9" s="37">
        <f>H18/'Dados Financeiros'!H24</f>
        <v>1.2342237559236012E-2</v>
      </c>
      <c r="I9" s="37">
        <f>I18/'Dados Financeiros'!I24</f>
        <v>1.8921870828377953E-2</v>
      </c>
    </row>
    <row r="10" spans="1:15" x14ac:dyDescent="0.3">
      <c r="B10" t="s">
        <v>93</v>
      </c>
      <c r="E10" s="37">
        <f>E19/'Dados Financeiros'!E24</f>
        <v>0.12555677396190162</v>
      </c>
      <c r="F10" s="37">
        <f>F19/'Dados Financeiros'!F24</f>
        <v>9.9303634455785564E-2</v>
      </c>
      <c r="G10" s="37">
        <f>G19/'Dados Financeiros'!G24</f>
        <v>0.15110283080509299</v>
      </c>
      <c r="H10" s="37">
        <f>H19/'Dados Financeiros'!H24</f>
        <v>0.12500360462545537</v>
      </c>
      <c r="I10" s="37">
        <f>I19/'Dados Financeiros'!I24</f>
        <v>9.6517074828280869E-2</v>
      </c>
    </row>
    <row r="11" spans="1:15" x14ac:dyDescent="0.3">
      <c r="B11" t="s">
        <v>94</v>
      </c>
      <c r="E11" s="37">
        <f>E20/'Dados Financeiros'!E24</f>
        <v>5.5100000970412136E-2</v>
      </c>
      <c r="F11" s="37">
        <f>F20/'Dados Financeiros'!F24</f>
        <v>4.7617911993567817E-2</v>
      </c>
      <c r="G11" s="37">
        <f>G20/'Dados Financeiros'!G24</f>
        <v>4.0771186889646281E-2</v>
      </c>
      <c r="H11" s="37">
        <f>H20/'Dados Financeiros'!H24</f>
        <v>5.6880989685965028E-2</v>
      </c>
      <c r="I11" s="37">
        <f>I20/'Dados Financeiros'!I24</f>
        <v>7.3935098662653825E-2</v>
      </c>
    </row>
    <row r="12" spans="1:15" x14ac:dyDescent="0.3">
      <c r="B12" t="s">
        <v>95</v>
      </c>
      <c r="E12" s="37">
        <f>E21/'Dados Financeiros'!E24</f>
        <v>7.2780910052499294E-3</v>
      </c>
      <c r="F12" s="37">
        <f>F21/'Dados Financeiros'!F24</f>
        <v>4.279036807893051E-3</v>
      </c>
      <c r="G12" s="37">
        <f>G21/'Dados Financeiros'!G24</f>
        <v>1.1730270012538188E-2</v>
      </c>
      <c r="H12" s="37">
        <f>H21/'Dados Financeiros'!H24</f>
        <v>3.253775244393606E-3</v>
      </c>
      <c r="I12" s="37">
        <f>I21/'Dados Financeiros'!I24</f>
        <v>3.6892308439115556E-3</v>
      </c>
    </row>
    <row r="14" spans="1:15" ht="25.8" x14ac:dyDescent="0.5">
      <c r="B14" s="15" t="s">
        <v>89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6" spans="1:15" x14ac:dyDescent="0.3">
      <c r="B16" t="s">
        <v>6</v>
      </c>
      <c r="E16" s="9">
        <v>142478</v>
      </c>
      <c r="F16" s="9">
        <v>208242</v>
      </c>
      <c r="G16" s="9">
        <v>145714</v>
      </c>
      <c r="H16" s="9">
        <v>138006</v>
      </c>
      <c r="I16" s="9">
        <v>134335</v>
      </c>
    </row>
    <row r="17" spans="2:15" x14ac:dyDescent="0.3">
      <c r="B17" t="s">
        <v>25</v>
      </c>
      <c r="E17" s="9">
        <v>22043</v>
      </c>
      <c r="F17" s="9">
        <v>37951</v>
      </c>
      <c r="G17" s="9">
        <v>32251</v>
      </c>
      <c r="H17" s="9">
        <v>28971</v>
      </c>
      <c r="I17" s="9">
        <v>31898</v>
      </c>
    </row>
    <row r="18" spans="2:15" x14ac:dyDescent="0.3">
      <c r="B18" t="s">
        <v>26</v>
      </c>
      <c r="E18" s="9">
        <v>2844</v>
      </c>
      <c r="F18" s="9">
        <v>2950</v>
      </c>
      <c r="G18" s="9">
        <v>2425</v>
      </c>
      <c r="H18" s="9">
        <v>2568</v>
      </c>
      <c r="I18" s="9">
        <v>3898</v>
      </c>
    </row>
    <row r="19" spans="2:15" x14ac:dyDescent="0.3">
      <c r="B19" t="s">
        <v>96</v>
      </c>
      <c r="E19" s="9">
        <v>25877</v>
      </c>
      <c r="F19" s="9">
        <v>29148</v>
      </c>
      <c r="G19" s="9">
        <v>34226</v>
      </c>
      <c r="H19" s="9">
        <v>26009</v>
      </c>
      <c r="I19" s="9">
        <v>19883</v>
      </c>
    </row>
    <row r="20" spans="2:15" x14ac:dyDescent="0.3">
      <c r="B20" t="s">
        <v>27</v>
      </c>
      <c r="E20" s="9">
        <v>11356</v>
      </c>
      <c r="F20" s="9">
        <v>13977</v>
      </c>
      <c r="G20" s="9">
        <v>9235</v>
      </c>
      <c r="H20" s="9">
        <v>11835</v>
      </c>
      <c r="I20" s="9">
        <v>15231</v>
      </c>
    </row>
    <row r="21" spans="2:15" x14ac:dyDescent="0.3">
      <c r="B21" t="s">
        <v>28</v>
      </c>
      <c r="E21" s="9">
        <v>1500</v>
      </c>
      <c r="F21" s="9">
        <v>1256</v>
      </c>
      <c r="G21" s="9">
        <v>2657</v>
      </c>
      <c r="H21" s="9">
        <v>677</v>
      </c>
      <c r="I21" s="9">
        <v>760</v>
      </c>
    </row>
    <row r="23" spans="2:15" ht="25.8" x14ac:dyDescent="0.5">
      <c r="B23" s="15" t="s">
        <v>78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5" spans="2:15" x14ac:dyDescent="0.3">
      <c r="B25" s="38" t="s">
        <v>79</v>
      </c>
      <c r="G25" s="9">
        <v>6914</v>
      </c>
      <c r="H25" s="9">
        <v>6169</v>
      </c>
      <c r="I25" s="9">
        <v>5150</v>
      </c>
    </row>
    <row r="26" spans="2:15" x14ac:dyDescent="0.3">
      <c r="B26" s="38" t="s">
        <v>80</v>
      </c>
      <c r="G26" s="9">
        <v>8323</v>
      </c>
      <c r="H26" s="9">
        <v>8471</v>
      </c>
      <c r="I26" s="9">
        <v>5813</v>
      </c>
    </row>
    <row r="27" spans="2:15" x14ac:dyDescent="0.3">
      <c r="B27" s="38" t="s">
        <v>81</v>
      </c>
      <c r="G27" s="9">
        <v>11003</v>
      </c>
      <c r="H27" s="9">
        <v>7909</v>
      </c>
      <c r="I27" s="9">
        <v>8000</v>
      </c>
    </row>
    <row r="28" spans="2:15" x14ac:dyDescent="0.3">
      <c r="B28" s="38" t="s">
        <v>82</v>
      </c>
      <c r="G28" s="9">
        <v>25300</v>
      </c>
      <c r="H28" s="9">
        <v>19771</v>
      </c>
      <c r="I28" s="9">
        <v>16301</v>
      </c>
    </row>
    <row r="29" spans="2:15" x14ac:dyDescent="0.3">
      <c r="B29" s="38" t="s">
        <v>83</v>
      </c>
      <c r="G29" s="9">
        <v>11600</v>
      </c>
      <c r="H29" s="9">
        <v>13663</v>
      </c>
      <c r="I29" s="9">
        <v>14299</v>
      </c>
    </row>
    <row r="30" spans="2:15" x14ac:dyDescent="0.3">
      <c r="B30" s="38" t="s">
        <v>84</v>
      </c>
      <c r="G30" s="9">
        <v>24399</v>
      </c>
      <c r="H30" s="9">
        <v>18239</v>
      </c>
      <c r="I30" s="9">
        <v>16466</v>
      </c>
    </row>
    <row r="31" spans="2:15" x14ac:dyDescent="0.3">
      <c r="B31" s="38" t="s">
        <v>85</v>
      </c>
      <c r="G31" s="9">
        <v>154067</v>
      </c>
      <c r="H31" s="9">
        <v>114960</v>
      </c>
      <c r="I31" s="9">
        <v>105200</v>
      </c>
    </row>
    <row r="32" spans="2:15" x14ac:dyDescent="0.3">
      <c r="B32" s="38" t="s">
        <v>86</v>
      </c>
      <c r="G32" s="9">
        <v>24240</v>
      </c>
      <c r="H32" s="9">
        <v>16059</v>
      </c>
      <c r="I32" s="9">
        <v>15643</v>
      </c>
    </row>
    <row r="33" spans="2:15" x14ac:dyDescent="0.3">
      <c r="B33" s="38" t="s">
        <v>87</v>
      </c>
      <c r="G33" s="9">
        <v>27678</v>
      </c>
      <c r="H33" s="9">
        <v>21267</v>
      </c>
      <c r="I33" s="9">
        <v>19133</v>
      </c>
    </row>
    <row r="34" spans="2:15" x14ac:dyDescent="0.3">
      <c r="B34" s="39" t="s">
        <v>24</v>
      </c>
      <c r="G34" s="40">
        <f>SUM(G25:G33)</f>
        <v>293524</v>
      </c>
      <c r="H34" s="40">
        <f>SUM(H25:H33)</f>
        <v>226508</v>
      </c>
      <c r="I34" s="40">
        <f>SUM(I25:I33)</f>
        <v>206005</v>
      </c>
    </row>
    <row r="36" spans="2:15" ht="25.8" x14ac:dyDescent="0.5">
      <c r="B36" s="15" t="s">
        <v>88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8" spans="2:15" x14ac:dyDescent="0.3">
      <c r="B38" s="38" t="s">
        <v>97</v>
      </c>
    </row>
    <row r="39" spans="2:15" x14ac:dyDescent="0.3">
      <c r="B39" s="38" t="s">
        <v>98</v>
      </c>
      <c r="G39" s="9">
        <v>9218</v>
      </c>
      <c r="H39" s="9">
        <v>9384</v>
      </c>
      <c r="I39" s="9">
        <v>14600</v>
      </c>
    </row>
    <row r="40" spans="2:15" x14ac:dyDescent="0.3">
      <c r="B40" s="38" t="s">
        <v>99</v>
      </c>
      <c r="G40" s="9">
        <v>15705</v>
      </c>
      <c r="H40" s="9">
        <v>18797</v>
      </c>
      <c r="I40" s="9">
        <v>14907</v>
      </c>
    </row>
    <row r="41" spans="2:15" x14ac:dyDescent="0.3">
      <c r="B41" s="38" t="s">
        <v>100</v>
      </c>
      <c r="G41" s="9">
        <v>5472</v>
      </c>
      <c r="H41" s="9">
        <v>8446</v>
      </c>
      <c r="I41" s="9">
        <v>7523</v>
      </c>
    </row>
    <row r="42" spans="2:15" x14ac:dyDescent="0.3">
      <c r="B42" s="38" t="s">
        <v>101</v>
      </c>
      <c r="G42" s="9">
        <v>15167</v>
      </c>
      <c r="H42" s="9">
        <v>16029</v>
      </c>
      <c r="I42" s="9">
        <v>24362</v>
      </c>
    </row>
    <row r="43" spans="2:15" x14ac:dyDescent="0.3">
      <c r="B43" s="38" t="s">
        <v>102</v>
      </c>
      <c r="G43" s="9">
        <v>7372</v>
      </c>
      <c r="H43" s="9">
        <v>6576</v>
      </c>
      <c r="I43" s="9">
        <v>6932</v>
      </c>
    </row>
    <row r="44" spans="2:15" x14ac:dyDescent="0.3">
      <c r="B44" s="38" t="s">
        <v>103</v>
      </c>
      <c r="G44" s="9">
        <v>3446</v>
      </c>
      <c r="H44" s="9">
        <v>3709</v>
      </c>
      <c r="I44" s="9">
        <v>3514</v>
      </c>
    </row>
    <row r="45" spans="2:15" x14ac:dyDescent="0.3">
      <c r="B45" s="38" t="s">
        <v>104</v>
      </c>
      <c r="G45" s="9">
        <v>12214</v>
      </c>
      <c r="H45" s="9">
        <v>13247</v>
      </c>
      <c r="I45" s="9">
        <v>10745</v>
      </c>
    </row>
    <row r="46" spans="2:15" x14ac:dyDescent="0.3">
      <c r="B46" s="38" t="s">
        <v>105</v>
      </c>
      <c r="G46" s="9">
        <v>15430</v>
      </c>
      <c r="H46" s="9">
        <v>15753</v>
      </c>
      <c r="I46" s="9">
        <v>15689</v>
      </c>
    </row>
    <row r="47" spans="2:15" x14ac:dyDescent="0.3">
      <c r="B47" s="38" t="s">
        <v>28</v>
      </c>
      <c r="G47" s="9">
        <v>24744</v>
      </c>
      <c r="H47" s="9">
        <v>24494</v>
      </c>
      <c r="I47" s="9">
        <v>25832</v>
      </c>
    </row>
    <row r="48" spans="2:15" x14ac:dyDescent="0.3">
      <c r="B48" s="39" t="s">
        <v>106</v>
      </c>
      <c r="G48" s="40">
        <v>8499</v>
      </c>
      <c r="H48" s="40">
        <v>7760</v>
      </c>
      <c r="I48" s="40">
        <v>7214</v>
      </c>
    </row>
    <row r="49" spans="2:15" x14ac:dyDescent="0.3">
      <c r="G49" s="9"/>
      <c r="H49" s="9"/>
      <c r="I49" s="9"/>
    </row>
    <row r="50" spans="2:15" ht="25.8" x14ac:dyDescent="0.5">
      <c r="B50" s="15" t="s">
        <v>112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2" spans="2:15" x14ac:dyDescent="0.3">
      <c r="B52" t="s">
        <v>111</v>
      </c>
      <c r="E52" s="42">
        <v>13.7</v>
      </c>
      <c r="F52" s="42">
        <v>17</v>
      </c>
      <c r="G52" s="42">
        <v>19.600000000000001</v>
      </c>
      <c r="H52" s="42">
        <v>22.3</v>
      </c>
      <c r="I52" s="42">
        <v>21.8</v>
      </c>
    </row>
    <row r="53" spans="2:15" x14ac:dyDescent="0.3">
      <c r="B53" t="s">
        <v>108</v>
      </c>
      <c r="E53" s="42"/>
      <c r="F53" s="42"/>
      <c r="G53" s="42">
        <v>49.3</v>
      </c>
      <c r="H53" s="42">
        <v>54.8</v>
      </c>
      <c r="I53" s="42">
        <v>55.9</v>
      </c>
    </row>
    <row r="54" spans="2:15" x14ac:dyDescent="0.3">
      <c r="B54" t="s">
        <v>109</v>
      </c>
      <c r="E54" s="9"/>
      <c r="F54" s="9"/>
      <c r="G54" s="9">
        <v>13440</v>
      </c>
      <c r="H54" s="9">
        <v>16854</v>
      </c>
      <c r="I54" s="9">
        <v>15420</v>
      </c>
    </row>
    <row r="55" spans="2:15" x14ac:dyDescent="0.3">
      <c r="B55" t="s">
        <v>110</v>
      </c>
      <c r="E55" s="9"/>
      <c r="F55" s="9"/>
      <c r="G55" s="9">
        <v>4502</v>
      </c>
      <c r="H55" s="9">
        <v>3437</v>
      </c>
      <c r="I55" s="9">
        <v>2616</v>
      </c>
    </row>
    <row r="56" spans="2:15" x14ac:dyDescent="0.3">
      <c r="E56" s="41"/>
      <c r="F56" s="41"/>
      <c r="G56" s="41"/>
      <c r="H56" s="41"/>
      <c r="I56" s="41"/>
    </row>
    <row r="59" spans="2:15" x14ac:dyDescent="0.3">
      <c r="B59" s="6" t="s">
        <v>24</v>
      </c>
      <c r="E59" s="72">
        <f>'Dados Financeiros'!E24</f>
        <v>206098</v>
      </c>
      <c r="F59" s="72">
        <f>'Dados Financeiros'!F24</f>
        <v>293524</v>
      </c>
      <c r="G59" s="72">
        <f>'Dados Financeiros'!G24</f>
        <v>226508</v>
      </c>
      <c r="H59" s="72">
        <f>'Dados Financeiros'!H24</f>
        <v>208066</v>
      </c>
      <c r="I59" s="72">
        <f>'Dados Financeiros'!I24</f>
        <v>206005</v>
      </c>
    </row>
    <row r="60" spans="2:15" x14ac:dyDescent="0.3">
      <c r="B60" t="s">
        <v>183</v>
      </c>
      <c r="E60" s="71"/>
      <c r="F60" s="55">
        <f>F59/E59-1</f>
        <v>0.42419625614998679</v>
      </c>
      <c r="G60" s="55">
        <f t="shared" ref="G60:I60" si="0">G59/F59-1</f>
        <v>-0.22831523146318533</v>
      </c>
      <c r="H60" s="55">
        <f t="shared" si="0"/>
        <v>-8.1418757836367761E-2</v>
      </c>
      <c r="I60" s="55">
        <f t="shared" si="0"/>
        <v>-9.9055107513962293E-3</v>
      </c>
    </row>
    <row r="61" spans="2:15" x14ac:dyDescent="0.3">
      <c r="B61" s="6" t="s">
        <v>182</v>
      </c>
      <c r="E61" s="73">
        <f>Macro!D9</f>
        <v>155.6</v>
      </c>
      <c r="F61" s="73">
        <f>Macro!E9</f>
        <v>121.05</v>
      </c>
      <c r="G61" s="73">
        <f>Macro!F9</f>
        <v>127.85</v>
      </c>
      <c r="H61" s="73">
        <f>Macro!G9</f>
        <v>131.05000000000001</v>
      </c>
      <c r="I61" s="73">
        <f>Macro!H9</f>
        <v>106.25</v>
      </c>
      <c r="L61" s="71">
        <f>E63*E61</f>
        <v>46742.239999999998</v>
      </c>
    </row>
    <row r="62" spans="2:15" x14ac:dyDescent="0.3">
      <c r="B62" t="s">
        <v>183</v>
      </c>
      <c r="F62" s="33">
        <f>F61/E61-1</f>
        <v>-0.22204370179948585</v>
      </c>
      <c r="G62" s="33">
        <f t="shared" ref="G62:I62" si="1">G61/F61-1</f>
        <v>5.6175134242048674E-2</v>
      </c>
      <c r="H62" s="33">
        <f t="shared" si="1"/>
        <v>2.5029331247555797E-2</v>
      </c>
      <c r="I62" s="33">
        <f t="shared" si="1"/>
        <v>-0.18924074780618094</v>
      </c>
      <c r="L62" s="71">
        <f>E63*E65</f>
        <v>4115.4799999999996</v>
      </c>
    </row>
    <row r="63" spans="2:15" x14ac:dyDescent="0.3">
      <c r="B63" s="6" t="s">
        <v>184</v>
      </c>
      <c r="E63" s="61">
        <v>300.39999999999998</v>
      </c>
      <c r="F63" s="61">
        <v>315.60000000000002</v>
      </c>
      <c r="G63" s="61">
        <v>308</v>
      </c>
      <c r="H63" s="61">
        <v>321</v>
      </c>
      <c r="I63" s="61">
        <v>328</v>
      </c>
      <c r="L63" s="71">
        <f>L61-L62</f>
        <v>42626.759999999995</v>
      </c>
    </row>
    <row r="64" spans="2:15" x14ac:dyDescent="0.3">
      <c r="B64" t="s">
        <v>183</v>
      </c>
      <c r="F64" s="33">
        <f>F63/E63-1</f>
        <v>5.0599201065246513E-2</v>
      </c>
      <c r="G64" s="33">
        <f t="shared" ref="G64:I64" si="2">G63/F63-1</f>
        <v>-2.4081115335868208E-2</v>
      </c>
      <c r="H64" s="33">
        <f t="shared" si="2"/>
        <v>4.2207792207792139E-2</v>
      </c>
      <c r="I64" s="33">
        <f t="shared" si="2"/>
        <v>2.1806853582554409E-2</v>
      </c>
    </row>
    <row r="65" spans="2:9" x14ac:dyDescent="0.3">
      <c r="B65" s="6" t="s">
        <v>107</v>
      </c>
      <c r="E65" s="74">
        <f>E52</f>
        <v>13.7</v>
      </c>
      <c r="F65" s="74">
        <f t="shared" ref="F65:I65" si="3">F52</f>
        <v>17</v>
      </c>
      <c r="G65" s="74">
        <f t="shared" si="3"/>
        <v>19.600000000000001</v>
      </c>
      <c r="H65" s="74">
        <f t="shared" si="3"/>
        <v>22.3</v>
      </c>
      <c r="I65" s="74">
        <f t="shared" si="3"/>
        <v>21.8</v>
      </c>
    </row>
    <row r="66" spans="2:9" x14ac:dyDescent="0.3">
      <c r="B66" t="s">
        <v>183</v>
      </c>
      <c r="F66" s="33">
        <f>F65/E65-1</f>
        <v>0.24087591240875916</v>
      </c>
      <c r="G66" s="33">
        <f t="shared" ref="G66:I66" si="4">G65/F65-1</f>
        <v>0.15294117647058836</v>
      </c>
      <c r="H66" s="33">
        <f t="shared" si="4"/>
        <v>0.13775510204081631</v>
      </c>
      <c r="I66" s="33">
        <f t="shared" si="4"/>
        <v>-2.2421524663677084E-2</v>
      </c>
    </row>
    <row r="67" spans="2:9" x14ac:dyDescent="0.3">
      <c r="B67" s="6" t="s">
        <v>185</v>
      </c>
      <c r="E67" s="72">
        <f>(E63*E61)-(E63*E65)</f>
        <v>42626.759999999995</v>
      </c>
      <c r="F67" s="72">
        <f t="shared" ref="F67:I67" si="5">(F63*F61)-(F63*F65)</f>
        <v>32838.180000000008</v>
      </c>
      <c r="G67" s="72">
        <f t="shared" si="5"/>
        <v>33340.999999999993</v>
      </c>
      <c r="H67" s="72">
        <f t="shared" si="5"/>
        <v>34908.75</v>
      </c>
      <c r="I67" s="72">
        <f t="shared" si="5"/>
        <v>27699.599999999999</v>
      </c>
    </row>
  </sheetData>
  <mergeCells count="1">
    <mergeCell ref="J1:O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C248-5196-4DB5-A5E4-34843B4C4DC8}">
  <dimension ref="A1:O24"/>
  <sheetViews>
    <sheetView showGridLines="0" workbookViewId="0">
      <pane ySplit="2" topLeftCell="A3" activePane="bottomLeft" state="frozen"/>
      <selection pane="bottomLeft" activeCell="D10" sqref="D10"/>
    </sheetView>
  </sheetViews>
  <sheetFormatPr defaultRowHeight="14.4" x14ac:dyDescent="0.3"/>
  <cols>
    <col min="1" max="1" width="3.88671875" customWidth="1"/>
    <col min="3" max="3" width="30.6640625" customWidth="1"/>
    <col min="4" max="4" width="10.109375" customWidth="1"/>
    <col min="5" max="6" width="10.109375" bestFit="1" customWidth="1"/>
    <col min="9" max="9" width="15.44140625" bestFit="1" customWidth="1"/>
    <col min="10" max="10" width="12.88671875" customWidth="1"/>
  </cols>
  <sheetData>
    <row r="1" spans="1:15" ht="18" x14ac:dyDescent="0.35">
      <c r="A1" s="2"/>
      <c r="B1" s="2"/>
      <c r="C1" s="2"/>
      <c r="D1" s="2"/>
      <c r="E1" s="2"/>
      <c r="F1" s="2"/>
      <c r="G1" s="2"/>
      <c r="H1" s="2"/>
      <c r="I1" s="2"/>
      <c r="J1" s="16"/>
      <c r="K1" s="16"/>
      <c r="L1" s="16"/>
      <c r="M1" s="16"/>
      <c r="N1" s="16"/>
      <c r="O1" s="16"/>
    </row>
    <row r="2" spans="1:15" ht="25.8" x14ac:dyDescent="0.5">
      <c r="A2" s="2"/>
      <c r="B2" s="3" t="s">
        <v>113</v>
      </c>
      <c r="C2" s="2"/>
      <c r="D2" s="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5" spans="1:15" ht="25.8" x14ac:dyDescent="0.5">
      <c r="B5" s="15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B6" t="s">
        <v>116</v>
      </c>
      <c r="D6" s="48">
        <v>0.13950000000000001</v>
      </c>
      <c r="E6" s="37"/>
      <c r="F6" s="37"/>
      <c r="G6" s="37"/>
      <c r="H6" s="37"/>
      <c r="I6" s="52" t="s">
        <v>153</v>
      </c>
      <c r="J6" s="52"/>
    </row>
    <row r="7" spans="1:15" x14ac:dyDescent="0.3">
      <c r="B7" t="s">
        <v>148</v>
      </c>
      <c r="D7" s="13">
        <v>1.06</v>
      </c>
      <c r="E7" s="37"/>
      <c r="F7" s="37"/>
      <c r="G7" s="37"/>
      <c r="H7" s="37"/>
      <c r="I7" s="50" t="s">
        <v>154</v>
      </c>
      <c r="J7" s="26">
        <v>232578</v>
      </c>
    </row>
    <row r="8" spans="1:15" x14ac:dyDescent="0.3">
      <c r="B8" t="s">
        <v>149</v>
      </c>
      <c r="D8" s="48">
        <v>0.06</v>
      </c>
      <c r="E8" s="37"/>
      <c r="F8" s="37"/>
      <c r="G8" s="37"/>
      <c r="H8" s="37"/>
      <c r="I8" s="1" t="s">
        <v>155</v>
      </c>
      <c r="J8" s="34">
        <f>D12</f>
        <v>91598</v>
      </c>
    </row>
    <row r="9" spans="1:15" x14ac:dyDescent="0.3">
      <c r="B9" t="s">
        <v>162</v>
      </c>
      <c r="D9" s="57">
        <v>0.41</v>
      </c>
      <c r="E9" s="37"/>
      <c r="F9" s="37"/>
      <c r="G9" s="37"/>
      <c r="H9" s="37"/>
      <c r="I9" s="53" t="s">
        <v>156</v>
      </c>
      <c r="J9" s="54">
        <f>'Dados Financeiros'!I54</f>
        <v>30671</v>
      </c>
    </row>
    <row r="10" spans="1:15" x14ac:dyDescent="0.3">
      <c r="B10" s="6" t="s">
        <v>150</v>
      </c>
      <c r="D10" s="49">
        <f>(D6+(D7*D8)*(1-D9*15%))</f>
        <v>0.19918860000000002</v>
      </c>
      <c r="E10" s="37"/>
      <c r="F10" s="37"/>
      <c r="G10" s="37"/>
      <c r="H10" s="37"/>
      <c r="I10" s="51" t="s">
        <v>157</v>
      </c>
      <c r="J10" s="34">
        <f>J7+J8-J9</f>
        <v>293505</v>
      </c>
    </row>
    <row r="11" spans="1:15" x14ac:dyDescent="0.3">
      <c r="E11" s="37"/>
      <c r="F11" s="37"/>
      <c r="G11" s="37"/>
      <c r="H11" s="37"/>
      <c r="I11" s="51"/>
      <c r="J11" s="34"/>
    </row>
    <row r="12" spans="1:15" x14ac:dyDescent="0.3">
      <c r="B12" t="s">
        <v>151</v>
      </c>
      <c r="D12" s="22">
        <f>'Dados Financeiros'!I67+'Dados Financeiros'!I74</f>
        <v>91598</v>
      </c>
      <c r="E12" s="37"/>
      <c r="F12" s="37"/>
      <c r="G12" s="37"/>
      <c r="H12" s="37"/>
      <c r="I12" s="51"/>
      <c r="J12" s="34"/>
    </row>
    <row r="13" spans="1:15" x14ac:dyDescent="0.3">
      <c r="B13" t="s">
        <v>152</v>
      </c>
      <c r="D13" s="22">
        <f>J7</f>
        <v>232578</v>
      </c>
      <c r="E13" s="37"/>
      <c r="F13" s="37"/>
      <c r="G13" s="37"/>
      <c r="H13" s="37"/>
      <c r="I13" s="51"/>
      <c r="J13" s="34"/>
    </row>
    <row r="14" spans="1:15" x14ac:dyDescent="0.3">
      <c r="E14" s="37"/>
      <c r="F14" s="37"/>
      <c r="G14" s="37"/>
      <c r="H14" s="37"/>
      <c r="I14" s="51"/>
      <c r="J14" s="34"/>
    </row>
    <row r="15" spans="1:15" x14ac:dyDescent="0.3">
      <c r="B15" t="s">
        <v>115</v>
      </c>
      <c r="D15" s="33">
        <f>D12/(D12+D13)</f>
        <v>0.28255638912195846</v>
      </c>
      <c r="E15" s="37"/>
      <c r="F15" s="37"/>
      <c r="G15" s="37"/>
      <c r="H15" s="37"/>
      <c r="I15" s="51"/>
      <c r="J15" s="34"/>
    </row>
    <row r="16" spans="1:15" x14ac:dyDescent="0.3">
      <c r="B16" t="s">
        <v>117</v>
      </c>
      <c r="D16" s="33">
        <f>D13/(D12+D13)</f>
        <v>0.71744361087804154</v>
      </c>
      <c r="E16" s="37"/>
      <c r="F16" s="37"/>
      <c r="G16" s="37"/>
      <c r="H16" s="37"/>
      <c r="I16" s="51"/>
      <c r="J16" s="34"/>
    </row>
    <row r="17" spans="2:9" x14ac:dyDescent="0.3">
      <c r="B17" s="20" t="s">
        <v>158</v>
      </c>
      <c r="C17" s="11"/>
      <c r="D17" s="29">
        <f>D15/D16</f>
        <v>0.39383776625476186</v>
      </c>
    </row>
    <row r="18" spans="2:9" x14ac:dyDescent="0.3">
      <c r="D18" s="22"/>
    </row>
    <row r="19" spans="2:9" x14ac:dyDescent="0.3">
      <c r="B19" s="6" t="s">
        <v>159</v>
      </c>
      <c r="D19" s="58">
        <f>D10</f>
        <v>0.19918860000000002</v>
      </c>
    </row>
    <row r="20" spans="2:9" x14ac:dyDescent="0.3">
      <c r="B20" s="6" t="s">
        <v>160</v>
      </c>
      <c r="D20" s="48">
        <v>0.15179999999999999</v>
      </c>
    </row>
    <row r="21" spans="2:9" x14ac:dyDescent="0.3">
      <c r="B21" s="6" t="s">
        <v>161</v>
      </c>
      <c r="D21" s="56">
        <v>0.10630000000000001</v>
      </c>
    </row>
    <row r="22" spans="2:9" x14ac:dyDescent="0.3">
      <c r="D22" s="33"/>
    </row>
    <row r="23" spans="2:9" ht="15" thickBot="1" x14ac:dyDescent="0.35">
      <c r="B23" s="18" t="s">
        <v>113</v>
      </c>
      <c r="C23" s="19"/>
      <c r="D23" s="59">
        <f>(D19*D16)+(D21*D15)</f>
        <v>0.17294233259340608</v>
      </c>
      <c r="I23" s="41"/>
    </row>
    <row r="24" spans="2:9" ht="15" thickTop="1" x14ac:dyDescent="0.3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B4ED-0955-4AEF-A5F2-C652D35FF3E9}">
  <dimension ref="A1:O53"/>
  <sheetViews>
    <sheetView showGridLines="0" workbookViewId="0">
      <pane ySplit="2" topLeftCell="A3" activePane="bottomLeft" state="frozen"/>
      <selection pane="bottomLeft" activeCell="F48" sqref="F48"/>
    </sheetView>
  </sheetViews>
  <sheetFormatPr defaultRowHeight="14.4" x14ac:dyDescent="0.3"/>
  <cols>
    <col min="1" max="1" width="3.88671875" customWidth="1"/>
    <col min="3" max="3" width="26.33203125" customWidth="1"/>
    <col min="4" max="4" width="10.33203125" bestFit="1" customWidth="1"/>
    <col min="5" max="5" width="10.88671875" bestFit="1" customWidth="1"/>
    <col min="6" max="10" width="10.6640625" bestFit="1" customWidth="1"/>
    <col min="11" max="11" width="10.88671875" customWidth="1"/>
    <col min="13" max="13" width="10" customWidth="1"/>
    <col min="14" max="14" width="12" bestFit="1" customWidth="1"/>
  </cols>
  <sheetData>
    <row r="1" spans="1:15" ht="18" x14ac:dyDescent="0.35">
      <c r="A1" s="2"/>
      <c r="B1" s="2"/>
      <c r="C1" s="2"/>
      <c r="D1" s="2"/>
      <c r="E1" s="2"/>
      <c r="F1" s="2"/>
      <c r="G1" s="2"/>
      <c r="H1" s="2"/>
      <c r="I1" s="2"/>
      <c r="J1" s="93"/>
      <c r="K1" s="93"/>
      <c r="L1" s="93"/>
      <c r="M1" s="93"/>
      <c r="N1" s="93"/>
      <c r="O1" s="93"/>
    </row>
    <row r="2" spans="1:15" ht="25.8" x14ac:dyDescent="0.5">
      <c r="A2" s="2"/>
      <c r="B2" s="3" t="s">
        <v>140</v>
      </c>
      <c r="C2" s="2"/>
      <c r="D2" s="2"/>
      <c r="E2" s="16"/>
      <c r="F2" s="16"/>
      <c r="G2" s="16"/>
      <c r="H2" s="16"/>
      <c r="I2" s="16"/>
      <c r="J2" s="17"/>
      <c r="K2" s="17"/>
      <c r="L2" s="17"/>
      <c r="M2" s="17"/>
      <c r="N2" s="17"/>
      <c r="O2" s="17"/>
    </row>
    <row r="5" spans="1:15" ht="25.8" x14ac:dyDescent="0.5">
      <c r="B5" s="15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15" x14ac:dyDescent="0.3">
      <c r="B7" s="6" t="s">
        <v>14</v>
      </c>
      <c r="E7" s="37"/>
      <c r="F7" s="37"/>
      <c r="G7" s="37"/>
      <c r="H7" s="37"/>
      <c r="I7" s="37"/>
    </row>
    <row r="8" spans="1:15" x14ac:dyDescent="0.3">
      <c r="B8" t="s">
        <v>44</v>
      </c>
      <c r="D8" s="43">
        <f>'Dados Financeiros'!J15</f>
        <v>0.13</v>
      </c>
      <c r="E8" s="37"/>
      <c r="F8" s="37"/>
      <c r="G8" s="37"/>
      <c r="H8" s="37"/>
      <c r="I8" s="37"/>
    </row>
    <row r="9" spans="1:15" x14ac:dyDescent="0.3">
      <c r="B9" t="s">
        <v>141</v>
      </c>
      <c r="D9" s="43">
        <f>WACC!D23</f>
        <v>0.17294233259340608</v>
      </c>
      <c r="E9" s="37"/>
      <c r="F9" s="37"/>
      <c r="G9" s="37"/>
      <c r="H9" s="37"/>
      <c r="I9" s="37"/>
    </row>
    <row r="10" spans="1:15" x14ac:dyDescent="0.3">
      <c r="B10" t="s">
        <v>142</v>
      </c>
      <c r="D10" s="43">
        <f>Macro!N5</f>
        <v>0.04</v>
      </c>
      <c r="E10" s="37"/>
      <c r="F10" s="37"/>
      <c r="G10" s="37"/>
      <c r="H10" s="37"/>
      <c r="I10" s="37"/>
    </row>
    <row r="11" spans="1:15" x14ac:dyDescent="0.3">
      <c r="B11" t="s">
        <v>143</v>
      </c>
      <c r="D11" s="57">
        <f>WACC!J10/'Dados Financeiros'!I44</f>
        <v>3.663271801400382</v>
      </c>
      <c r="E11" s="37"/>
      <c r="F11" s="37"/>
      <c r="G11" s="37"/>
      <c r="H11" s="37"/>
      <c r="I11" s="37"/>
    </row>
    <row r="12" spans="1:15" x14ac:dyDescent="0.3">
      <c r="B12" t="s">
        <v>144</v>
      </c>
      <c r="D12" s="60">
        <v>45827</v>
      </c>
      <c r="E12" s="37"/>
      <c r="F12" s="37"/>
      <c r="G12" s="37"/>
      <c r="H12" s="37"/>
      <c r="I12" s="37"/>
    </row>
    <row r="13" spans="1:15" x14ac:dyDescent="0.3">
      <c r="B13" t="s">
        <v>145</v>
      </c>
      <c r="D13" s="60">
        <v>46022</v>
      </c>
    </row>
    <row r="14" spans="1:15" x14ac:dyDescent="0.3">
      <c r="B14" t="s">
        <v>146</v>
      </c>
      <c r="D14" s="57">
        <v>51.24</v>
      </c>
    </row>
    <row r="15" spans="1:15" x14ac:dyDescent="0.3">
      <c r="B15" t="s">
        <v>147</v>
      </c>
      <c r="D15" s="22">
        <v>4539</v>
      </c>
    </row>
    <row r="17" spans="2:14" ht="15" thickBot="1" x14ac:dyDescent="0.35">
      <c r="B17" s="18" t="s">
        <v>163</v>
      </c>
      <c r="C17" s="18"/>
      <c r="D17" s="62" t="s">
        <v>164</v>
      </c>
      <c r="E17" s="62">
        <v>2025</v>
      </c>
      <c r="F17" s="62">
        <f>+E17+1</f>
        <v>2026</v>
      </c>
      <c r="G17" s="62">
        <f>+F17+1</f>
        <v>2027</v>
      </c>
      <c r="H17" s="62">
        <f>+G17+1</f>
        <v>2028</v>
      </c>
      <c r="I17" s="62">
        <f>+H17+1</f>
        <v>2029</v>
      </c>
      <c r="J17" s="62">
        <v>2030</v>
      </c>
      <c r="K17" s="62" t="s">
        <v>165</v>
      </c>
      <c r="M17" s="65" t="s">
        <v>169</v>
      </c>
      <c r="N17" s="65"/>
    </row>
    <row r="18" spans="2:14" ht="16.2" thickTop="1" x14ac:dyDescent="0.3">
      <c r="B18" t="s">
        <v>166</v>
      </c>
      <c r="C18" s="63"/>
      <c r="D18" s="64">
        <f>+D12</f>
        <v>45827</v>
      </c>
      <c r="E18" s="64">
        <f t="shared" ref="E18:J18" si="0">DATE(YEAR($D$18)+E19,MONTH($D$13),DAY($D$13))</f>
        <v>46022</v>
      </c>
      <c r="F18" s="64">
        <f t="shared" si="0"/>
        <v>46387</v>
      </c>
      <c r="G18" s="64">
        <f t="shared" si="0"/>
        <v>46752</v>
      </c>
      <c r="H18" s="64">
        <f t="shared" si="0"/>
        <v>47118</v>
      </c>
      <c r="I18" s="64">
        <f t="shared" si="0"/>
        <v>47483</v>
      </c>
      <c r="J18" s="64">
        <f t="shared" si="0"/>
        <v>47848</v>
      </c>
      <c r="K18" s="64">
        <f>J18</f>
        <v>47848</v>
      </c>
      <c r="M18" t="s">
        <v>170</v>
      </c>
      <c r="N18" s="34">
        <f>+D11*('Dados Financeiros'!O35-'Dados Financeiros'!O33)</f>
        <v>409509.66621269251</v>
      </c>
    </row>
    <row r="19" spans="2:14" x14ac:dyDescent="0.3">
      <c r="B19" t="s">
        <v>167</v>
      </c>
      <c r="F19" s="41">
        <v>1</v>
      </c>
      <c r="G19" s="41">
        <f>F19+1</f>
        <v>2</v>
      </c>
      <c r="H19" s="41">
        <f>G19+1</f>
        <v>3</v>
      </c>
      <c r="I19" s="41">
        <f>H19+1</f>
        <v>4</v>
      </c>
      <c r="J19" s="41">
        <f>I19+1</f>
        <v>5</v>
      </c>
      <c r="M19" s="11" t="s">
        <v>171</v>
      </c>
      <c r="N19" s="54">
        <f>(J36*(1+D10))/(D9-D10)</f>
        <v>383087.00250865275</v>
      </c>
    </row>
    <row r="20" spans="2:14" x14ac:dyDescent="0.3">
      <c r="B20" t="s">
        <v>168</v>
      </c>
      <c r="E20" s="8">
        <f>YEARFRAC(D18,E18)</f>
        <v>0.53333333333333333</v>
      </c>
      <c r="F20" s="8">
        <f t="shared" ref="F20:J20" si="1">YEARFRAC(E18,F18)</f>
        <v>1</v>
      </c>
      <c r="G20" s="8">
        <f t="shared" si="1"/>
        <v>1</v>
      </c>
      <c r="H20" s="8">
        <f t="shared" si="1"/>
        <v>1</v>
      </c>
      <c r="I20" s="8">
        <f t="shared" si="1"/>
        <v>1</v>
      </c>
      <c r="J20" s="8">
        <f t="shared" si="1"/>
        <v>1</v>
      </c>
      <c r="M20" t="s">
        <v>172</v>
      </c>
      <c r="N20" s="34">
        <f>AVERAGE(N18:N19)</f>
        <v>396298.33436067263</v>
      </c>
    </row>
    <row r="22" spans="2:14" ht="15" thickBot="1" x14ac:dyDescent="0.35">
      <c r="B22" s="18" t="s">
        <v>39</v>
      </c>
      <c r="C22" s="19"/>
      <c r="D22" s="19"/>
      <c r="E22" s="25">
        <v>89107.112984690059</v>
      </c>
      <c r="F22" s="25">
        <v>94693.032069001099</v>
      </c>
      <c r="G22" s="25">
        <v>99268.095751761153</v>
      </c>
      <c r="H22" s="25">
        <v>102646.02436632809</v>
      </c>
      <c r="I22" s="25">
        <v>107291.6345569812</v>
      </c>
      <c r="J22" s="25">
        <v>111787.95579846046</v>
      </c>
    </row>
    <row r="23" spans="2:14" ht="15" thickTop="1" x14ac:dyDescent="0.3">
      <c r="B23" t="s">
        <v>123</v>
      </c>
      <c r="E23" s="34">
        <v>-10453.964688009706</v>
      </c>
      <c r="F23" s="34">
        <v>-11180.134168970142</v>
      </c>
      <c r="G23" s="34">
        <v>-11774.892447728949</v>
      </c>
      <c r="H23" s="34">
        <v>-12214.02316762265</v>
      </c>
      <c r="I23" s="34">
        <v>-12817.952492407554</v>
      </c>
      <c r="J23" s="34">
        <v>-13402.474253799859</v>
      </c>
    </row>
    <row r="24" spans="2:14" x14ac:dyDescent="0.3">
      <c r="B24" s="20" t="s">
        <v>50</v>
      </c>
      <c r="C24" s="11"/>
      <c r="D24" s="11"/>
      <c r="E24" s="23">
        <v>78653.14829668036</v>
      </c>
      <c r="F24" s="23">
        <v>83512.897900030963</v>
      </c>
      <c r="G24" s="23">
        <v>87493.203304032199</v>
      </c>
      <c r="H24" s="23">
        <v>90432.001198705431</v>
      </c>
      <c r="I24" s="23">
        <v>94473.682064573644</v>
      </c>
      <c r="J24" s="23">
        <v>98385.481544660608</v>
      </c>
    </row>
    <row r="25" spans="2:14" x14ac:dyDescent="0.3">
      <c r="B25" s="6" t="s">
        <v>124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</row>
    <row r="26" spans="2:14" x14ac:dyDescent="0.3">
      <c r="B26" s="6" t="s">
        <v>125</v>
      </c>
      <c r="E26" s="35">
        <v>-37020.707894780462</v>
      </c>
      <c r="F26" s="35">
        <v>-39048.743889414225</v>
      </c>
      <c r="G26" s="35">
        <v>-41187.877975613927</v>
      </c>
      <c r="H26" s="35">
        <v>-43444.196231724454</v>
      </c>
      <c r="I26" s="35">
        <v>-45824.11813830398</v>
      </c>
      <c r="J26" s="35">
        <v>-48334.414842272003</v>
      </c>
    </row>
    <row r="27" spans="2:14" x14ac:dyDescent="0.3">
      <c r="B27" s="6" t="s">
        <v>126</v>
      </c>
      <c r="E27" s="35">
        <v>-18335.884036100026</v>
      </c>
      <c r="F27" s="35">
        <v>-206.94058162450779</v>
      </c>
      <c r="G27" s="35">
        <v>-2371.9275050214719</v>
      </c>
      <c r="H27" s="35">
        <v>-1619.8529250737233</v>
      </c>
      <c r="I27" s="35">
        <v>408.58078629659713</v>
      </c>
      <c r="J27" s="35">
        <v>-1081.3746834306276</v>
      </c>
    </row>
    <row r="28" spans="2:14" x14ac:dyDescent="0.3">
      <c r="B28" s="6" t="s">
        <v>127</v>
      </c>
      <c r="E28" s="35">
        <v>-16768.892855783761</v>
      </c>
      <c r="F28" s="35">
        <v>-1355.727978510268</v>
      </c>
      <c r="G28" s="35">
        <v>-3439.0233536842543</v>
      </c>
      <c r="H28" s="35">
        <v>-2674.1436235525548</v>
      </c>
      <c r="I28" s="35">
        <v>-743.37052425185038</v>
      </c>
      <c r="J28" s="35">
        <v>-2279.4040464010013</v>
      </c>
    </row>
    <row r="29" spans="2:14" x14ac:dyDescent="0.3">
      <c r="B29" t="s">
        <v>128</v>
      </c>
      <c r="E29" s="34">
        <v>-4816.4839823702896</v>
      </c>
      <c r="F29" s="34">
        <v>-873.74177920666261</v>
      </c>
      <c r="G29" s="34">
        <v>-811.60903046307794</v>
      </c>
      <c r="H29" s="34">
        <v>-801.86972209752275</v>
      </c>
      <c r="I29" s="34">
        <v>-876.14818056550212</v>
      </c>
      <c r="J29" s="34">
        <v>-911.1941077881238</v>
      </c>
    </row>
    <row r="30" spans="2:14" x14ac:dyDescent="0.3">
      <c r="B30" t="s">
        <v>129</v>
      </c>
      <c r="E30" s="34">
        <v>3212.8136265865287</v>
      </c>
      <c r="F30" s="34">
        <v>-1138.5083868036018</v>
      </c>
      <c r="G30" s="34">
        <v>-1057.5477904086802</v>
      </c>
      <c r="H30" s="34">
        <v>-1044.8572169237887</v>
      </c>
      <c r="I30" s="34">
        <v>-1141.6439907019812</v>
      </c>
      <c r="J30" s="34">
        <v>-1187.309750330056</v>
      </c>
    </row>
    <row r="31" spans="2:14" x14ac:dyDescent="0.3">
      <c r="B31" t="s">
        <v>130</v>
      </c>
      <c r="E31" s="34">
        <v>-15165.2225</v>
      </c>
      <c r="F31" s="34">
        <v>656.52218749999633</v>
      </c>
      <c r="G31" s="34">
        <v>-1569.8665328124964</v>
      </c>
      <c r="H31" s="34">
        <v>-827.41668453124339</v>
      </c>
      <c r="I31" s="34">
        <v>1274.421647015633</v>
      </c>
      <c r="J31" s="34">
        <v>-180.90018828282166</v>
      </c>
    </row>
    <row r="32" spans="2:14" x14ac:dyDescent="0.3">
      <c r="B32" s="6" t="s">
        <v>131</v>
      </c>
      <c r="E32" s="35">
        <v>-1566.9911803162659</v>
      </c>
      <c r="F32" s="35">
        <v>1148.7873968857602</v>
      </c>
      <c r="G32" s="35">
        <v>1067.0958486627824</v>
      </c>
      <c r="H32" s="35">
        <v>1054.2906984788315</v>
      </c>
      <c r="I32" s="35">
        <v>1151.9513105484475</v>
      </c>
      <c r="J32" s="35">
        <v>1198.0293629703738</v>
      </c>
    </row>
    <row r="33" spans="2:15" x14ac:dyDescent="0.3">
      <c r="B33" t="s">
        <v>132</v>
      </c>
      <c r="E33" s="34">
        <v>-688.3911803162664</v>
      </c>
      <c r="F33" s="34">
        <v>1148.7873968857602</v>
      </c>
      <c r="G33" s="34">
        <v>1067.0958486627824</v>
      </c>
      <c r="H33" s="34">
        <v>1054.2906984788315</v>
      </c>
      <c r="I33" s="34">
        <v>1151.9513105484475</v>
      </c>
      <c r="J33" s="34">
        <v>1198.0293629703738</v>
      </c>
    </row>
    <row r="34" spans="2:15" x14ac:dyDescent="0.3">
      <c r="B34" t="s">
        <v>133</v>
      </c>
      <c r="E34" s="34">
        <v>565.66666666666697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</row>
    <row r="35" spans="2:15" x14ac:dyDescent="0.3">
      <c r="B35" t="s">
        <v>134</v>
      </c>
      <c r="E35" s="34">
        <v>-1444.2666666666664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</row>
    <row r="36" spans="2:15" ht="15" thickBot="1" x14ac:dyDescent="0.35">
      <c r="B36" s="18" t="s">
        <v>135</v>
      </c>
      <c r="C36" s="19"/>
      <c r="D36" s="19"/>
      <c r="E36" s="25">
        <v>23296.556365799872</v>
      </c>
      <c r="F36" s="25">
        <v>44257.213428992232</v>
      </c>
      <c r="G36" s="25">
        <v>43933.397823396801</v>
      </c>
      <c r="H36" s="25">
        <v>45367.952041907251</v>
      </c>
      <c r="I36" s="25">
        <v>49058.14471256626</v>
      </c>
      <c r="J36" s="25">
        <v>48969.692018957976</v>
      </c>
      <c r="K36" s="25">
        <f>N20</f>
        <v>396298.33436067263</v>
      </c>
    </row>
    <row r="37" spans="2:15" ht="15" thickTop="1" x14ac:dyDescent="0.3"/>
    <row r="38" spans="2:15" x14ac:dyDescent="0.3">
      <c r="B38" s="6" t="s">
        <v>173</v>
      </c>
      <c r="D38" s="41">
        <v>0</v>
      </c>
      <c r="E38" s="34">
        <f>+E36*E20</f>
        <v>12424.830061759931</v>
      </c>
      <c r="F38" s="34">
        <f>F36*F20</f>
        <v>44257.213428992232</v>
      </c>
      <c r="G38" s="34">
        <f t="shared" ref="G38:J38" si="2">G36*G20</f>
        <v>43933.397823396801</v>
      </c>
      <c r="H38" s="34">
        <f t="shared" si="2"/>
        <v>45367.952041907251</v>
      </c>
      <c r="I38" s="34">
        <f t="shared" si="2"/>
        <v>49058.14471256626</v>
      </c>
      <c r="J38" s="34">
        <f t="shared" si="2"/>
        <v>48969.692018957976</v>
      </c>
      <c r="K38" s="47">
        <f>K36</f>
        <v>396298.33436067263</v>
      </c>
    </row>
    <row r="40" spans="2:15" x14ac:dyDescent="0.3">
      <c r="B40" s="6" t="s">
        <v>174</v>
      </c>
      <c r="E40" s="34">
        <f>E38</f>
        <v>12424.830061759931</v>
      </c>
      <c r="F40" s="34">
        <f t="shared" ref="F40:K40" si="3">F38</f>
        <v>44257.213428992232</v>
      </c>
      <c r="G40" s="34">
        <f t="shared" si="3"/>
        <v>43933.397823396801</v>
      </c>
      <c r="H40" s="34">
        <f t="shared" si="3"/>
        <v>45367.952041907251</v>
      </c>
      <c r="I40" s="34">
        <f t="shared" si="3"/>
        <v>49058.14471256626</v>
      </c>
      <c r="J40" s="34">
        <f t="shared" si="3"/>
        <v>48969.692018957976</v>
      </c>
      <c r="K40" s="34">
        <f t="shared" si="3"/>
        <v>396298.33436067263</v>
      </c>
    </row>
    <row r="42" spans="2:15" ht="25.8" x14ac:dyDescent="0.5">
      <c r="B42" s="15" t="s">
        <v>175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4" spans="2:15" ht="15.6" x14ac:dyDescent="0.3">
      <c r="B44" t="s">
        <v>179</v>
      </c>
      <c r="D44" s="34">
        <f>XNPV(D9,D38:K38,D18:K18)</f>
        <v>309073.33730671846</v>
      </c>
      <c r="F44" s="66"/>
    </row>
    <row r="45" spans="2:15" x14ac:dyDescent="0.3">
      <c r="B45" t="s">
        <v>176</v>
      </c>
      <c r="D45" s="34">
        <f>'Dados Financeiros'!I54</f>
        <v>30671</v>
      </c>
    </row>
    <row r="46" spans="2:15" x14ac:dyDescent="0.3">
      <c r="B46" s="11" t="s">
        <v>177</v>
      </c>
      <c r="C46" s="11"/>
      <c r="D46" s="54">
        <f>WACC!J8</f>
        <v>91598</v>
      </c>
      <c r="G46" s="80"/>
      <c r="H46" s="80"/>
      <c r="I46" s="96" t="s">
        <v>188</v>
      </c>
      <c r="J46" s="96"/>
      <c r="K46" s="96"/>
      <c r="L46" s="80"/>
      <c r="M46" s="80"/>
    </row>
    <row r="47" spans="2:15" x14ac:dyDescent="0.3">
      <c r="B47" t="s">
        <v>178</v>
      </c>
      <c r="D47" s="34">
        <f>D44+D45-D46</f>
        <v>248146.33730671846</v>
      </c>
      <c r="G47" s="75"/>
      <c r="H47" s="94" t="s">
        <v>113</v>
      </c>
      <c r="I47" s="94"/>
      <c r="J47" s="94"/>
      <c r="K47" s="94"/>
      <c r="L47" s="94"/>
      <c r="M47" s="94"/>
    </row>
    <row r="48" spans="2:15" x14ac:dyDescent="0.3">
      <c r="D48" s="68"/>
      <c r="G48" s="95" t="s">
        <v>187</v>
      </c>
      <c r="H48" s="91">
        <f>D49</f>
        <v>54.669825359488534</v>
      </c>
      <c r="I48" s="76">
        <f>J48+1%</f>
        <v>0.19290000000000002</v>
      </c>
      <c r="J48" s="76">
        <f>K48+1%</f>
        <v>0.18290000000000001</v>
      </c>
      <c r="K48" s="77">
        <v>0.1729</v>
      </c>
      <c r="L48" s="76">
        <f>K48-2%</f>
        <v>0.15290000000000001</v>
      </c>
      <c r="M48" s="76">
        <f>L48-2%</f>
        <v>0.13290000000000002</v>
      </c>
    </row>
    <row r="49" spans="2:13" x14ac:dyDescent="0.3">
      <c r="B49" s="6" t="s">
        <v>180</v>
      </c>
      <c r="C49" s="67"/>
      <c r="D49" s="69">
        <f>D47/D15</f>
        <v>54.669825359488534</v>
      </c>
      <c r="E49" s="70"/>
      <c r="G49" s="95"/>
      <c r="H49" s="78">
        <f>H50-0.5%</f>
        <v>3.0000000000000002E-2</v>
      </c>
      <c r="I49" s="81">
        <f t="dataTable" ref="I49:M53" dt2D="1" dtr="1" r1="D9" r2="D10"/>
        <v>46.801775437867597</v>
      </c>
      <c r="J49" s="82">
        <v>49.891425442984342</v>
      </c>
      <c r="K49" s="82">
        <v>53.30847036634519</v>
      </c>
      <c r="L49" s="82">
        <v>61.399579587558627</v>
      </c>
      <c r="M49" s="81">
        <v>71.879327944704144</v>
      </c>
    </row>
    <row r="50" spans="2:13" x14ac:dyDescent="0.3">
      <c r="B50" s="6" t="s">
        <v>181</v>
      </c>
      <c r="D50" s="98">
        <f>D49/D14-1</f>
        <v>6.693648242561534E-2</v>
      </c>
      <c r="G50" s="95"/>
      <c r="H50" s="78">
        <f>H51-0.5%</f>
        <v>3.5000000000000003E-2</v>
      </c>
      <c r="I50" s="83">
        <v>47.272809713616553</v>
      </c>
      <c r="J50" s="84">
        <v>50.448056351645093</v>
      </c>
      <c r="K50" s="84">
        <v>53.97232739480112</v>
      </c>
      <c r="L50" s="85">
        <v>62.375678188035735</v>
      </c>
      <c r="M50" s="81">
        <v>73.399324803514389</v>
      </c>
    </row>
    <row r="51" spans="2:13" x14ac:dyDescent="0.3">
      <c r="D51" s="97"/>
      <c r="G51" s="95"/>
      <c r="H51" s="79">
        <v>0.04</v>
      </c>
      <c r="I51" s="83">
        <v>47.774650678426916</v>
      </c>
      <c r="J51" s="84">
        <v>51.043639738168743</v>
      </c>
      <c r="K51" s="86">
        <v>54.686136043155912</v>
      </c>
      <c r="L51" s="87">
        <v>63.438233706181322</v>
      </c>
      <c r="M51" s="81">
        <v>75.082938116448474</v>
      </c>
    </row>
    <row r="52" spans="2:13" x14ac:dyDescent="0.3">
      <c r="G52" s="95"/>
      <c r="H52" s="78">
        <f>H51+0.5%</f>
        <v>4.4999999999999998E-2</v>
      </c>
      <c r="I52" s="83">
        <v>48.310422742953989</v>
      </c>
      <c r="J52" s="88">
        <v>51.682412637855805</v>
      </c>
      <c r="K52" s="89">
        <v>55.455754593649459</v>
      </c>
      <c r="L52" s="90">
        <v>64.599265175962273</v>
      </c>
      <c r="M52" s="81">
        <v>76.958088780114508</v>
      </c>
    </row>
    <row r="53" spans="2:13" x14ac:dyDescent="0.3">
      <c r="G53" s="95"/>
      <c r="H53" s="78">
        <f>H52+0.5%</f>
        <v>4.9999999999999996E-2</v>
      </c>
      <c r="I53" s="81">
        <v>48.883687604158986</v>
      </c>
      <c r="J53" s="81">
        <v>52.369249713591564</v>
      </c>
      <c r="K53" s="81">
        <v>56.28799466981377</v>
      </c>
      <c r="L53" s="81">
        <v>65.873127692369152</v>
      </c>
      <c r="M53" s="81">
        <v>79.059433733728227</v>
      </c>
    </row>
  </sheetData>
  <mergeCells count="4">
    <mergeCell ref="J1:O1"/>
    <mergeCell ref="H47:M47"/>
    <mergeCell ref="G48:G53"/>
    <mergeCell ref="I46:K4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</vt:lpstr>
      <vt:lpstr>Dados Financeiros</vt:lpstr>
      <vt:lpstr>Dados de Apoio para Gráficos</vt:lpstr>
      <vt:lpstr>WACC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Rocha</dc:creator>
  <cp:lastModifiedBy>Gabriel Rocha</cp:lastModifiedBy>
  <dcterms:created xsi:type="dcterms:W3CDTF">2025-06-18T19:09:38Z</dcterms:created>
  <dcterms:modified xsi:type="dcterms:W3CDTF">2025-12-04T14:21:18Z</dcterms:modified>
</cp:coreProperties>
</file>