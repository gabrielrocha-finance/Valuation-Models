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8_{91C9F81D-B194-48D2-97E0-1270B3AF9115}" xr6:coauthVersionLast="47" xr6:coauthVersionMax="47" xr10:uidLastSave="{00000000-0000-0000-0000-000000000000}"/>
  <bookViews>
    <workbookView xWindow="28680" yWindow="-120" windowWidth="29040" windowHeight="15720" tabRatio="898" activeTab="2" xr2:uid="{00000000-000D-0000-FFFF-FFFF00000000}"/>
  </bookViews>
  <sheets>
    <sheet name="Histórico" sheetId="4" r:id="rId1"/>
    <sheet name="WACC" sheetId="7" r:id="rId2"/>
    <sheet name="Model" sheetId="6" r:id="rId3"/>
  </sheets>
  <externalReferences>
    <externalReference r:id="rId4"/>
    <externalReference r:id="rId5"/>
  </externalReferences>
  <definedNames>
    <definedName name="Case_Cell">[1]Inputs!$F$9</definedName>
    <definedName name="Case_Number">[1]Inputs!$E$9</definedName>
    <definedName name="Company_Name">[1]Inputs!$E$4</definedName>
    <definedName name="Comps_Range">'[1]Public-Comps-Data'!$D$2:$AA$106</definedName>
    <definedName name="Days_in_Year">[1]Inputs!$E$14</definedName>
    <definedName name="Equity_Interest_Value">'[1]YHOO-Equity-Interests'!$E$24</definedName>
    <definedName name="Forward_Year_1">[1]Inputs!$L$13</definedName>
    <definedName name="Forward_Year_2">[1]Inputs!$L$14</definedName>
    <definedName name="Forward_Year_3">[1]Inputs!$L$15</definedName>
    <definedName name="FYear_1_Name">[1]Inputs!$I$13</definedName>
    <definedName name="FYear_2_Name">[1]Inputs!$I$14</definedName>
    <definedName name="Hist_Year">[1]Inputs!$E$6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41949.6165277778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A_Comps_Range">'[1]M&amp;A-Comps-Data'!$D$2:$AK$84</definedName>
    <definedName name="_xlnm.Print_Titles" localSheetId="1">WACC!$1:$1</definedName>
    <definedName name="Q4_Stub">[1]DCF!$P$4</definedName>
    <definedName name="Tax_Rate">[1]Inputs!$L$4</definedName>
    <definedName name="Ticker">[1]Inputs!$E$5</definedName>
    <definedName name="TTM">[1]Inputs!$L$12</definedName>
    <definedName name="Units">[1]Inputs!$E$15</definedName>
    <definedName name="WACC">#REF!</definedName>
    <definedName name="x">[2]Inputs!$L$12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" l="1"/>
  <c r="E6" i="7"/>
  <c r="E7" i="7"/>
  <c r="E8" i="7"/>
  <c r="E9" i="7"/>
  <c r="E10" i="7"/>
  <c r="E11" i="7"/>
  <c r="E12" i="7"/>
  <c r="E13" i="7"/>
  <c r="E14" i="7"/>
  <c r="E15" i="7"/>
  <c r="B46" i="7" l="1"/>
  <c r="D18" i="7"/>
  <c r="C18" i="7"/>
  <c r="B18" i="7"/>
  <c r="E17" i="7"/>
  <c r="D17" i="7"/>
  <c r="C17" i="7"/>
  <c r="B17" i="7"/>
  <c r="E4" i="7"/>
  <c r="E18" i="7" l="1"/>
  <c r="D21" i="7" s="1"/>
  <c r="H63" i="6" l="1"/>
  <c r="H142" i="6" s="1"/>
  <c r="F65" i="6"/>
  <c r="G65" i="6"/>
  <c r="H65" i="6"/>
  <c r="I65" i="6" s="1"/>
  <c r="J65" i="6" s="1"/>
  <c r="K65" i="6" s="1"/>
  <c r="L65" i="6" s="1"/>
  <c r="M65" i="6" s="1"/>
  <c r="N65" i="6" s="1"/>
  <c r="O65" i="6" s="1"/>
  <c r="P65" i="6" s="1"/>
  <c r="E65" i="6"/>
  <c r="J67" i="6"/>
  <c r="K67" i="6" s="1"/>
  <c r="L67" i="6" s="1"/>
  <c r="M67" i="6" s="1"/>
  <c r="N67" i="6" s="1"/>
  <c r="O67" i="6" s="1"/>
  <c r="P67" i="6" s="1"/>
  <c r="G63" i="6"/>
  <c r="G142" i="6" s="1"/>
  <c r="F63" i="6"/>
  <c r="F142" i="6" s="1"/>
  <c r="E63" i="6"/>
  <c r="E142" i="6" s="1"/>
  <c r="G66" i="6" l="1"/>
  <c r="F66" i="6"/>
  <c r="H66" i="6"/>
  <c r="I66" i="6" s="1"/>
  <c r="J66" i="6" s="1"/>
  <c r="E66" i="6"/>
  <c r="G67" i="6" l="1"/>
  <c r="F67" i="6"/>
  <c r="I63" i="6"/>
  <c r="I142" i="6" s="1"/>
  <c r="H67" i="6"/>
  <c r="J63" i="6"/>
  <c r="J142" i="6" s="1"/>
  <c r="K66" i="6"/>
  <c r="K63" i="6" l="1"/>
  <c r="K142" i="6" s="1"/>
  <c r="L66" i="6"/>
  <c r="J46" i="6"/>
  <c r="K46" i="6" s="1"/>
  <c r="L46" i="6" s="1"/>
  <c r="M46" i="6" s="1"/>
  <c r="N46" i="6" s="1"/>
  <c r="M66" i="6" l="1"/>
  <c r="L63" i="6"/>
  <c r="L142" i="6" s="1"/>
  <c r="O46" i="6"/>
  <c r="P46" i="6" s="1"/>
  <c r="N66" i="6" l="1"/>
  <c r="M63" i="6"/>
  <c r="M142" i="6" s="1"/>
  <c r="O188" i="6"/>
  <c r="P188" i="6"/>
  <c r="O99" i="6"/>
  <c r="P99" i="6"/>
  <c r="O81" i="6"/>
  <c r="P81" i="6"/>
  <c r="O85" i="6"/>
  <c r="P85" i="6"/>
  <c r="O207" i="6" l="1"/>
  <c r="P207" i="6"/>
  <c r="N63" i="6"/>
  <c r="N142" i="6" s="1"/>
  <c r="O66" i="6"/>
  <c r="P66" i="6" l="1"/>
  <c r="P63" i="6" s="1"/>
  <c r="P142" i="6" s="1"/>
  <c r="O63" i="6"/>
  <c r="O142" i="6" s="1"/>
  <c r="H87" i="6" l="1"/>
  <c r="G87" i="6"/>
  <c r="H86" i="6"/>
  <c r="G86" i="6"/>
  <c r="I188" i="6"/>
  <c r="J188" i="6"/>
  <c r="K188" i="6"/>
  <c r="L188" i="6"/>
  <c r="M188" i="6"/>
  <c r="N188" i="6"/>
  <c r="E188" i="6"/>
  <c r="E127" i="6" l="1"/>
  <c r="H126" i="6"/>
  <c r="I126" i="6" s="1"/>
  <c r="J126" i="6" s="1"/>
  <c r="K126" i="6" s="1"/>
  <c r="L126" i="6" s="1"/>
  <c r="M126" i="6" s="1"/>
  <c r="N126" i="6" s="1"/>
  <c r="O126" i="6" s="1"/>
  <c r="P126" i="6" s="1"/>
  <c r="G126" i="6"/>
  <c r="F126" i="6"/>
  <c r="E126" i="6"/>
  <c r="H120" i="6"/>
  <c r="I120" i="6" s="1"/>
  <c r="J120" i="6" s="1"/>
  <c r="G120" i="6"/>
  <c r="F120" i="6"/>
  <c r="E120" i="6"/>
  <c r="E110" i="6"/>
  <c r="E109" i="6"/>
  <c r="E106" i="6"/>
  <c r="F106" i="6"/>
  <c r="G106" i="6"/>
  <c r="H106" i="6"/>
  <c r="E103" i="6"/>
  <c r="N85" i="6"/>
  <c r="M85" i="6"/>
  <c r="L85" i="6"/>
  <c r="K85" i="6"/>
  <c r="J85" i="6"/>
  <c r="I85" i="6"/>
  <c r="F87" i="6"/>
  <c r="E87" i="6"/>
  <c r="H85" i="6"/>
  <c r="G85" i="6"/>
  <c r="F86" i="6"/>
  <c r="E86" i="6"/>
  <c r="E82" i="6"/>
  <c r="J71" i="6"/>
  <c r="K71" i="6" s="1"/>
  <c r="L71" i="6" s="1"/>
  <c r="M71" i="6" s="1"/>
  <c r="N71" i="6" s="1"/>
  <c r="O71" i="6" s="1"/>
  <c r="P71" i="6" s="1"/>
  <c r="J69" i="6"/>
  <c r="K69" i="6" s="1"/>
  <c r="L69" i="6" s="1"/>
  <c r="M69" i="6" s="1"/>
  <c r="N69" i="6" s="1"/>
  <c r="O69" i="6" s="1"/>
  <c r="P69" i="6" s="1"/>
  <c r="J62" i="6"/>
  <c r="K62" i="6" s="1"/>
  <c r="L62" i="6" s="1"/>
  <c r="M62" i="6" s="1"/>
  <c r="N62" i="6" s="1"/>
  <c r="O62" i="6" s="1"/>
  <c r="P62" i="6" s="1"/>
  <c r="F60" i="6"/>
  <c r="G60" i="6"/>
  <c r="H60" i="6"/>
  <c r="E60" i="6"/>
  <c r="E85" i="6" l="1"/>
  <c r="I106" i="6"/>
  <c r="J106" i="6" s="1"/>
  <c r="K120" i="6"/>
  <c r="J204" i="6"/>
  <c r="G199" i="6"/>
  <c r="F204" i="6"/>
  <c r="H199" i="6"/>
  <c r="H204" i="6"/>
  <c r="I204" i="6"/>
  <c r="F199" i="6"/>
  <c r="G204" i="6"/>
  <c r="E125" i="6"/>
  <c r="F85" i="6"/>
  <c r="E8" i="6"/>
  <c r="I199" i="6" l="1"/>
  <c r="K106" i="6"/>
  <c r="K199" i="6" s="1"/>
  <c r="J199" i="6"/>
  <c r="L120" i="6"/>
  <c r="K204" i="6"/>
  <c r="L106" i="6" l="1"/>
  <c r="L199" i="6" s="1"/>
  <c r="M120" i="6"/>
  <c r="L204" i="6"/>
  <c r="E58" i="6"/>
  <c r="H58" i="6"/>
  <c r="H141" i="6" l="1"/>
  <c r="E141" i="6"/>
  <c r="M106" i="6"/>
  <c r="M199" i="6" s="1"/>
  <c r="N120" i="6"/>
  <c r="M204" i="6"/>
  <c r="E68" i="6"/>
  <c r="H61" i="6"/>
  <c r="E61" i="6"/>
  <c r="G58" i="6"/>
  <c r="F58" i="6"/>
  <c r="F141" i="6" l="1"/>
  <c r="G141" i="6"/>
  <c r="N106" i="6"/>
  <c r="N199" i="6" s="1"/>
  <c r="N204" i="6"/>
  <c r="O120" i="6"/>
  <c r="F61" i="6"/>
  <c r="F62" i="6" s="1"/>
  <c r="I61" i="6"/>
  <c r="G61" i="6"/>
  <c r="F68" i="6"/>
  <c r="F69" i="6" s="1"/>
  <c r="O106" i="6" l="1"/>
  <c r="O199" i="6" s="1"/>
  <c r="P120" i="6"/>
  <c r="P204" i="6" s="1"/>
  <c r="O204" i="6"/>
  <c r="G62" i="6"/>
  <c r="H62" i="6"/>
  <c r="H68" i="6"/>
  <c r="G68" i="6"/>
  <c r="I58" i="6"/>
  <c r="J61" i="6"/>
  <c r="E30" i="6"/>
  <c r="E31" i="6" s="1"/>
  <c r="I141" i="6" l="1"/>
  <c r="P106" i="6"/>
  <c r="P199" i="6" s="1"/>
  <c r="G69" i="6"/>
  <c r="J58" i="6"/>
  <c r="K61" i="6"/>
  <c r="H69" i="6"/>
  <c r="J141" i="6" l="1"/>
  <c r="E111" i="6"/>
  <c r="E28" i="6"/>
  <c r="L61" i="6"/>
  <c r="K58" i="6"/>
  <c r="F8" i="6"/>
  <c r="E104" i="6"/>
  <c r="E53" i="6"/>
  <c r="E51" i="6"/>
  <c r="E49" i="6"/>
  <c r="F30" i="6"/>
  <c r="E5" i="6"/>
  <c r="E64" i="6" s="1"/>
  <c r="K141" i="6" l="1"/>
  <c r="E70" i="6"/>
  <c r="E56" i="6" s="1"/>
  <c r="F31" i="6"/>
  <c r="F9" i="6"/>
  <c r="E139" i="6"/>
  <c r="E32" i="6"/>
  <c r="E116" i="6"/>
  <c r="E26" i="6"/>
  <c r="E27" i="6" s="1"/>
  <c r="G8" i="6"/>
  <c r="M61" i="6"/>
  <c r="L58" i="6"/>
  <c r="E112" i="6"/>
  <c r="E59" i="6"/>
  <c r="E132" i="6"/>
  <c r="E54" i="6"/>
  <c r="E50" i="6"/>
  <c r="E52" i="6"/>
  <c r="E44" i="6"/>
  <c r="E45" i="6" s="1"/>
  <c r="E29" i="6"/>
  <c r="E10" i="6"/>
  <c r="E105" i="6"/>
  <c r="F49" i="6"/>
  <c r="F53" i="6"/>
  <c r="F51" i="6"/>
  <c r="G30" i="6"/>
  <c r="F5" i="6"/>
  <c r="F64" i="6" s="1"/>
  <c r="F15" i="6"/>
  <c r="L141" i="6" l="1"/>
  <c r="E108" i="6"/>
  <c r="G53" i="6"/>
  <c r="F110" i="6"/>
  <c r="F158" i="6" s="1"/>
  <c r="F109" i="6"/>
  <c r="F112" i="6"/>
  <c r="F172" i="6" s="1"/>
  <c r="F111" i="6"/>
  <c r="F154" i="6" s="1"/>
  <c r="F155" i="6" s="1"/>
  <c r="E134" i="6"/>
  <c r="G15" i="6"/>
  <c r="G145" i="6" s="1"/>
  <c r="F104" i="6"/>
  <c r="F145" i="6"/>
  <c r="G9" i="6"/>
  <c r="G31" i="6"/>
  <c r="F28" i="6"/>
  <c r="F29" i="6" s="1"/>
  <c r="E43" i="6"/>
  <c r="E41" i="6" s="1"/>
  <c r="E117" i="6"/>
  <c r="G5" i="6"/>
  <c r="G49" i="6"/>
  <c r="M58" i="6"/>
  <c r="N61" i="6"/>
  <c r="F116" i="6"/>
  <c r="F201" i="6" s="1"/>
  <c r="F26" i="6"/>
  <c r="F27" i="6" s="1"/>
  <c r="G51" i="6"/>
  <c r="H8" i="6"/>
  <c r="F70" i="6"/>
  <c r="F56" i="6" s="1"/>
  <c r="E133" i="6"/>
  <c r="E23" i="6"/>
  <c r="F59" i="6"/>
  <c r="F50" i="6"/>
  <c r="F54" i="6"/>
  <c r="F52" i="6"/>
  <c r="G43" i="6"/>
  <c r="G44" i="6"/>
  <c r="G45" i="6" s="1"/>
  <c r="F43" i="6"/>
  <c r="F44" i="6"/>
  <c r="F45" i="6" s="1"/>
  <c r="F46" i="6" s="1"/>
  <c r="F10" i="6"/>
  <c r="F11" i="6" s="1"/>
  <c r="F16" i="6"/>
  <c r="M141" i="6" l="1"/>
  <c r="G10" i="6"/>
  <c r="G11" i="6" s="1"/>
  <c r="G64" i="6"/>
  <c r="G46" i="6"/>
  <c r="F197" i="6"/>
  <c r="N58" i="6"/>
  <c r="O61" i="6"/>
  <c r="G59" i="6"/>
  <c r="E47" i="6"/>
  <c r="E76" i="6"/>
  <c r="G111" i="6"/>
  <c r="G154" i="6" s="1"/>
  <c r="G155" i="6" s="1"/>
  <c r="G109" i="6"/>
  <c r="E38" i="6"/>
  <c r="G52" i="6"/>
  <c r="E140" i="6"/>
  <c r="F117" i="6"/>
  <c r="F202" i="6" s="1"/>
  <c r="G105" i="6"/>
  <c r="F132" i="6"/>
  <c r="F71" i="6"/>
  <c r="G26" i="6"/>
  <c r="F139" i="6"/>
  <c r="F32" i="6"/>
  <c r="F33" i="6" s="1"/>
  <c r="G104" i="6"/>
  <c r="F151" i="6"/>
  <c r="F148" i="6" s="1"/>
  <c r="F108" i="6"/>
  <c r="H30" i="6"/>
  <c r="H31" i="6" s="1"/>
  <c r="P31" i="6" s="1"/>
  <c r="G16" i="6"/>
  <c r="G54" i="6"/>
  <c r="G28" i="6"/>
  <c r="F105" i="6"/>
  <c r="G50" i="6"/>
  <c r="H9" i="6"/>
  <c r="F134" i="6"/>
  <c r="F23" i="6"/>
  <c r="G70" i="6"/>
  <c r="G56" i="6" s="1"/>
  <c r="G41" i="6"/>
  <c r="G140" i="6"/>
  <c r="F41" i="6"/>
  <c r="F140" i="6"/>
  <c r="F47" i="6"/>
  <c r="G47" i="6"/>
  <c r="H49" i="6"/>
  <c r="H53" i="6"/>
  <c r="H51" i="6"/>
  <c r="H15" i="6"/>
  <c r="H5" i="6"/>
  <c r="H64" i="6" s="1"/>
  <c r="F138" i="6" l="1"/>
  <c r="E138" i="6"/>
  <c r="E135" i="6" s="1"/>
  <c r="F194" i="6"/>
  <c r="N141" i="6"/>
  <c r="G110" i="6"/>
  <c r="G158" i="6" s="1"/>
  <c r="O58" i="6"/>
  <c r="P61" i="6"/>
  <c r="P58" i="6" s="1"/>
  <c r="F76" i="6"/>
  <c r="F193" i="6" s="1"/>
  <c r="F38" i="6"/>
  <c r="G112" i="6"/>
  <c r="G172" i="6" s="1"/>
  <c r="H109" i="6"/>
  <c r="H111" i="6"/>
  <c r="H26" i="6"/>
  <c r="H27" i="6" s="1"/>
  <c r="I27" i="6" s="1"/>
  <c r="J27" i="6" s="1"/>
  <c r="K27" i="6" s="1"/>
  <c r="L27" i="6" s="1"/>
  <c r="M27" i="6" s="1"/>
  <c r="N27" i="6" s="1"/>
  <c r="O27" i="6" s="1"/>
  <c r="G71" i="6"/>
  <c r="G38" i="6"/>
  <c r="H145" i="6"/>
  <c r="H70" i="6"/>
  <c r="H56" i="6" s="1"/>
  <c r="G32" i="6"/>
  <c r="G33" i="6" s="1"/>
  <c r="G139" i="6"/>
  <c r="G138" i="6" s="1"/>
  <c r="G29" i="6"/>
  <c r="G133" i="6"/>
  <c r="G23" i="6"/>
  <c r="G27" i="6"/>
  <c r="H104" i="6"/>
  <c r="G117" i="6"/>
  <c r="G202" i="6" s="1"/>
  <c r="H28" i="6"/>
  <c r="H29" i="6" s="1"/>
  <c r="G197" i="6"/>
  <c r="G132" i="6"/>
  <c r="G116" i="6"/>
  <c r="F198" i="6"/>
  <c r="F196" i="6" s="1"/>
  <c r="F133" i="6"/>
  <c r="G151" i="6"/>
  <c r="G148" i="6" s="1"/>
  <c r="G198" i="6"/>
  <c r="H59" i="6"/>
  <c r="H52" i="6"/>
  <c r="I52" i="6" s="1"/>
  <c r="J52" i="6" s="1"/>
  <c r="K52" i="6" s="1"/>
  <c r="L52" i="6" s="1"/>
  <c r="M52" i="6" s="1"/>
  <c r="N52" i="6" s="1"/>
  <c r="O52" i="6" s="1"/>
  <c r="P52" i="6" s="1"/>
  <c r="H50" i="6"/>
  <c r="H54" i="6"/>
  <c r="I54" i="6" s="1"/>
  <c r="J54" i="6" s="1"/>
  <c r="K54" i="6" s="1"/>
  <c r="L54" i="6" s="1"/>
  <c r="M54" i="6" s="1"/>
  <c r="N54" i="6" s="1"/>
  <c r="O54" i="6" s="1"/>
  <c r="P54" i="6" s="1"/>
  <c r="H44" i="6"/>
  <c r="H45" i="6" s="1"/>
  <c r="H10" i="6"/>
  <c r="H16" i="6"/>
  <c r="G194" i="6" l="1"/>
  <c r="H112" i="6"/>
  <c r="H174" i="6" s="1"/>
  <c r="H110" i="6"/>
  <c r="H158" i="6" s="1"/>
  <c r="I45" i="6"/>
  <c r="J45" i="6" s="1"/>
  <c r="K45" i="6" s="1"/>
  <c r="L45" i="6" s="1"/>
  <c r="M45" i="6" s="1"/>
  <c r="N45" i="6" s="1"/>
  <c r="O45" i="6" s="1"/>
  <c r="P45" i="6" s="1"/>
  <c r="H46" i="6"/>
  <c r="G196" i="6"/>
  <c r="H132" i="6"/>
  <c r="I132" i="6" s="1"/>
  <c r="J132" i="6" s="1"/>
  <c r="K132" i="6" s="1"/>
  <c r="L132" i="6" s="1"/>
  <c r="M132" i="6" s="1"/>
  <c r="N132" i="6" s="1"/>
  <c r="O132" i="6" s="1"/>
  <c r="P132" i="6" s="1"/>
  <c r="P141" i="6"/>
  <c r="P27" i="6"/>
  <c r="O141" i="6"/>
  <c r="I8" i="6"/>
  <c r="G108" i="6"/>
  <c r="G76" i="6"/>
  <c r="G193" i="6" s="1"/>
  <c r="D174" i="6"/>
  <c r="H154" i="6"/>
  <c r="H155" i="6" s="1"/>
  <c r="I155" i="6" s="1"/>
  <c r="G135" i="6"/>
  <c r="H105" i="6"/>
  <c r="G201" i="6"/>
  <c r="G134" i="6"/>
  <c r="H23" i="6"/>
  <c r="H71" i="6"/>
  <c r="D160" i="6"/>
  <c r="H151" i="6"/>
  <c r="H139" i="6"/>
  <c r="H32" i="6"/>
  <c r="H197" i="6"/>
  <c r="H116" i="6"/>
  <c r="F135" i="6"/>
  <c r="H43" i="6"/>
  <c r="H140" i="6" s="1"/>
  <c r="H11" i="6"/>
  <c r="H138" i="6" l="1"/>
  <c r="H160" i="6"/>
  <c r="I160" i="6" s="1"/>
  <c r="J160" i="6" s="1"/>
  <c r="K160" i="6" s="1"/>
  <c r="I30" i="6"/>
  <c r="I44" i="6"/>
  <c r="J11" i="6"/>
  <c r="K11" i="6" s="1"/>
  <c r="L11" i="6" s="1"/>
  <c r="M11" i="6" s="1"/>
  <c r="N11" i="6" s="1"/>
  <c r="O11" i="6" s="1"/>
  <c r="P11" i="6" s="1"/>
  <c r="H133" i="6"/>
  <c r="I133" i="6" s="1"/>
  <c r="J133" i="6" s="1"/>
  <c r="K133" i="6" s="1"/>
  <c r="L133" i="6" s="1"/>
  <c r="M133" i="6" s="1"/>
  <c r="N133" i="6" s="1"/>
  <c r="O133" i="6" s="1"/>
  <c r="P133" i="6" s="1"/>
  <c r="J8" i="6"/>
  <c r="H76" i="6"/>
  <c r="H193" i="6" s="1"/>
  <c r="H148" i="6"/>
  <c r="I174" i="6"/>
  <c r="J174" i="6" s="1"/>
  <c r="K174" i="6" s="1"/>
  <c r="H172" i="6"/>
  <c r="H108" i="6"/>
  <c r="H201" i="6"/>
  <c r="H134" i="6"/>
  <c r="I134" i="6" s="1"/>
  <c r="J134" i="6" s="1"/>
  <c r="K134" i="6" s="1"/>
  <c r="L134" i="6" s="1"/>
  <c r="M134" i="6" s="1"/>
  <c r="N134" i="6" s="1"/>
  <c r="O134" i="6" s="1"/>
  <c r="P134" i="6" s="1"/>
  <c r="H33" i="6"/>
  <c r="H117" i="6"/>
  <c r="H198" i="6"/>
  <c r="H196" i="6" s="1"/>
  <c r="H47" i="6"/>
  <c r="I47" i="6" s="1"/>
  <c r="H41" i="6"/>
  <c r="H38" i="6" s="1"/>
  <c r="H194" i="6" l="1"/>
  <c r="J33" i="6"/>
  <c r="K33" i="6" s="1"/>
  <c r="L33" i="6" s="1"/>
  <c r="M33" i="6" s="1"/>
  <c r="N33" i="6" s="1"/>
  <c r="O33" i="6" s="1"/>
  <c r="P33" i="6" s="1"/>
  <c r="J44" i="6"/>
  <c r="I10" i="6"/>
  <c r="I5" i="6" s="1"/>
  <c r="J30" i="6"/>
  <c r="K8" i="6"/>
  <c r="L174" i="6"/>
  <c r="M174" i="6" s="1"/>
  <c r="N174" i="6" s="1"/>
  <c r="L160" i="6"/>
  <c r="M160" i="6" s="1"/>
  <c r="N160" i="6" s="1"/>
  <c r="H202" i="6"/>
  <c r="H135" i="6"/>
  <c r="I135" i="6" s="1"/>
  <c r="I43" i="6"/>
  <c r="I140" i="6" s="1"/>
  <c r="J135" i="6" l="1"/>
  <c r="K135" i="6" s="1"/>
  <c r="L135" i="6" s="1"/>
  <c r="M135" i="6" s="1"/>
  <c r="N135" i="6" s="1"/>
  <c r="O135" i="6" s="1"/>
  <c r="P135" i="6" s="1"/>
  <c r="I104" i="6"/>
  <c r="I197" i="6" s="1"/>
  <c r="I64" i="6"/>
  <c r="I32" i="6"/>
  <c r="I28" i="6" s="1"/>
  <c r="I139" i="6" s="1"/>
  <c r="I138" i="6" s="1"/>
  <c r="I117" i="6" s="1"/>
  <c r="J10" i="6"/>
  <c r="J5" i="6" s="1"/>
  <c r="I59" i="6"/>
  <c r="K44" i="6"/>
  <c r="O174" i="6"/>
  <c r="P174" i="6" s="1"/>
  <c r="I51" i="6"/>
  <c r="O160" i="6"/>
  <c r="P160" i="6" s="1"/>
  <c r="I53" i="6"/>
  <c r="I26" i="6"/>
  <c r="I105" i="6" s="1"/>
  <c r="K30" i="6"/>
  <c r="L8" i="6"/>
  <c r="J53" i="6" l="1"/>
  <c r="J64" i="6"/>
  <c r="J59" i="6"/>
  <c r="I29" i="6"/>
  <c r="J32" i="6"/>
  <c r="J28" i="6" s="1"/>
  <c r="J139" i="6" s="1"/>
  <c r="J104" i="6"/>
  <c r="J197" i="6" s="1"/>
  <c r="J26" i="6"/>
  <c r="J116" i="6" s="1"/>
  <c r="J51" i="6"/>
  <c r="K10" i="6"/>
  <c r="L10" i="6" s="1"/>
  <c r="L5" i="6" s="1"/>
  <c r="L64" i="6" s="1"/>
  <c r="L44" i="6"/>
  <c r="I116" i="6"/>
  <c r="I201" i="6" s="1"/>
  <c r="L30" i="6"/>
  <c r="I198" i="6"/>
  <c r="I196" i="6" s="1"/>
  <c r="M8" i="6"/>
  <c r="J29" i="6" l="1"/>
  <c r="J105" i="6"/>
  <c r="J198" i="6" s="1"/>
  <c r="J196" i="6" s="1"/>
  <c r="K32" i="6"/>
  <c r="L32" i="6" s="1"/>
  <c r="M32" i="6" s="1"/>
  <c r="K5" i="6"/>
  <c r="M10" i="6"/>
  <c r="N10" i="6" s="1"/>
  <c r="O10" i="6" s="1"/>
  <c r="P10" i="6" s="1"/>
  <c r="J201" i="6"/>
  <c r="M44" i="6"/>
  <c r="M30" i="6"/>
  <c r="N8" i="6"/>
  <c r="L59" i="6"/>
  <c r="L104" i="6"/>
  <c r="L53" i="6"/>
  <c r="L51" i="6"/>
  <c r="L26" i="6"/>
  <c r="M5" i="6" l="1"/>
  <c r="M64" i="6" s="1"/>
  <c r="K59" i="6"/>
  <c r="K64" i="6"/>
  <c r="K51" i="6"/>
  <c r="L28" i="6"/>
  <c r="L139" i="6" s="1"/>
  <c r="K28" i="6"/>
  <c r="K139" i="6" s="1"/>
  <c r="K26" i="6"/>
  <c r="K116" i="6" s="1"/>
  <c r="K201" i="6" s="1"/>
  <c r="K104" i="6"/>
  <c r="L197" i="6" s="1"/>
  <c r="K53" i="6"/>
  <c r="N44" i="6"/>
  <c r="O8" i="6"/>
  <c r="N30" i="6"/>
  <c r="L116" i="6"/>
  <c r="L105" i="6"/>
  <c r="N32" i="6"/>
  <c r="O32" i="6" s="1"/>
  <c r="P32" i="6" s="1"/>
  <c r="M28" i="6"/>
  <c r="M139" i="6" s="1"/>
  <c r="N5" i="6"/>
  <c r="N64" i="6" s="1"/>
  <c r="M59" i="6" l="1"/>
  <c r="M51" i="6"/>
  <c r="M104" i="6"/>
  <c r="M197" i="6" s="1"/>
  <c r="M26" i="6"/>
  <c r="M105" i="6" s="1"/>
  <c r="M53" i="6"/>
  <c r="K29" i="6"/>
  <c r="L29" i="6"/>
  <c r="L201" i="6"/>
  <c r="K105" i="6"/>
  <c r="K198" i="6" s="1"/>
  <c r="K197" i="6"/>
  <c r="O44" i="6"/>
  <c r="O5" i="6"/>
  <c r="O64" i="6" s="1"/>
  <c r="P8" i="6"/>
  <c r="O30" i="6"/>
  <c r="O28" i="6" s="1"/>
  <c r="N28" i="6"/>
  <c r="N139" i="6" s="1"/>
  <c r="N59" i="6"/>
  <c r="N104" i="6"/>
  <c r="M29" i="6"/>
  <c r="N53" i="6"/>
  <c r="N51" i="6"/>
  <c r="N26" i="6"/>
  <c r="M116" i="6" l="1"/>
  <c r="M201" i="6" s="1"/>
  <c r="K196" i="6"/>
  <c r="L198" i="6"/>
  <c r="L196" i="6" s="1"/>
  <c r="N197" i="6"/>
  <c r="P5" i="6"/>
  <c r="P64" i="6" s="1"/>
  <c r="P44" i="6"/>
  <c r="P30" i="6"/>
  <c r="P28" i="6" s="1"/>
  <c r="O6" i="6"/>
  <c r="O104" i="6"/>
  <c r="O51" i="6"/>
  <c r="O53" i="6"/>
  <c r="O59" i="6"/>
  <c r="O26" i="6"/>
  <c r="O29" i="6"/>
  <c r="O139" i="6"/>
  <c r="M198" i="6"/>
  <c r="M196" i="6" s="1"/>
  <c r="N29" i="6"/>
  <c r="N105" i="6"/>
  <c r="N116" i="6"/>
  <c r="N201" i="6" l="1"/>
  <c r="O197" i="6"/>
  <c r="O105" i="6"/>
  <c r="O198" i="6" s="1"/>
  <c r="O116" i="6"/>
  <c r="O23" i="6"/>
  <c r="P29" i="6"/>
  <c r="P139" i="6"/>
  <c r="P6" i="6"/>
  <c r="P104" i="6"/>
  <c r="P51" i="6"/>
  <c r="P53" i="6"/>
  <c r="P59" i="6"/>
  <c r="P26" i="6"/>
  <c r="N198" i="6"/>
  <c r="N196" i="6" s="1"/>
  <c r="O24" i="6" l="1"/>
  <c r="O196" i="6"/>
  <c r="P197" i="6"/>
  <c r="O201" i="6"/>
  <c r="P116" i="6"/>
  <c r="P23" i="6"/>
  <c r="P105" i="6"/>
  <c r="P198" i="6" s="1"/>
  <c r="P24" i="6" l="1"/>
  <c r="P196" i="6"/>
  <c r="P201" i="6"/>
  <c r="J217" i="6" l="1"/>
  <c r="K217" i="6" s="1"/>
  <c r="L217" i="6" s="1"/>
  <c r="M217" i="6" s="1"/>
  <c r="N217" i="6" s="1"/>
  <c r="O217" i="6" s="1"/>
  <c r="P217" i="6" s="1"/>
  <c r="J91" i="6" l="1"/>
  <c r="K91" i="6" s="1"/>
  <c r="L91" i="6" s="1"/>
  <c r="M91" i="6" s="1"/>
  <c r="N91" i="6" s="1"/>
  <c r="O91" i="6" s="1"/>
  <c r="P91" i="6" s="1"/>
  <c r="I99" i="6"/>
  <c r="J99" i="6"/>
  <c r="K99" i="6"/>
  <c r="L99" i="6"/>
  <c r="M99" i="6"/>
  <c r="N99" i="6"/>
  <c r="E157" i="6" l="1"/>
  <c r="E148" i="6"/>
  <c r="I70" i="6" l="1"/>
  <c r="E99" i="6"/>
  <c r="F3" i="6"/>
  <c r="E15" i="6"/>
  <c r="E145" i="6" s="1"/>
  <c r="G3" i="6" l="1"/>
  <c r="G188" i="6" s="1"/>
  <c r="F188" i="6"/>
  <c r="J70" i="6"/>
  <c r="E16" i="6"/>
  <c r="I68" i="6"/>
  <c r="I56" i="6" s="1"/>
  <c r="I81" i="6"/>
  <c r="I207" i="6" s="1"/>
  <c r="I16" i="6"/>
  <c r="F99" i="6"/>
  <c r="H3" i="6" l="1"/>
  <c r="H99" i="6" s="1"/>
  <c r="I202" i="6"/>
  <c r="G99" i="6"/>
  <c r="K70" i="6"/>
  <c r="J68" i="6"/>
  <c r="J56" i="6" s="1"/>
  <c r="J16" i="6"/>
  <c r="I15" i="6"/>
  <c r="I145" i="6" s="1"/>
  <c r="J155" i="6"/>
  <c r="K155" i="6" s="1"/>
  <c r="L155" i="6" s="1"/>
  <c r="M155" i="6" s="1"/>
  <c r="N155" i="6" s="1"/>
  <c r="O155" i="6" s="1"/>
  <c r="E57" i="6"/>
  <c r="G42" i="6"/>
  <c r="I50" i="6"/>
  <c r="H152" i="6"/>
  <c r="H149" i="6"/>
  <c r="E149" i="6"/>
  <c r="G152" i="6"/>
  <c r="G149" i="6"/>
  <c r="G6" i="6"/>
  <c r="F152" i="6"/>
  <c r="F149" i="6"/>
  <c r="F42" i="6"/>
  <c r="H6" i="6"/>
  <c r="H42" i="6"/>
  <c r="E42" i="6"/>
  <c r="F6" i="6"/>
  <c r="H188" i="6" l="1"/>
  <c r="O154" i="6"/>
  <c r="P155" i="6"/>
  <c r="P154" i="6" s="1"/>
  <c r="I152" i="6"/>
  <c r="J152" i="6" s="1"/>
  <c r="K152" i="6" s="1"/>
  <c r="L152" i="6" s="1"/>
  <c r="M152" i="6" s="1"/>
  <c r="N152" i="6" s="1"/>
  <c r="O152" i="6" s="1"/>
  <c r="L70" i="6"/>
  <c r="K68" i="6"/>
  <c r="K56" i="6" s="1"/>
  <c r="J50" i="6"/>
  <c r="I49" i="6"/>
  <c r="I41" i="6" s="1"/>
  <c r="I38" i="6" s="1"/>
  <c r="H48" i="6"/>
  <c r="J48" i="6" s="1"/>
  <c r="G48" i="6"/>
  <c r="F48" i="6"/>
  <c r="K16" i="6"/>
  <c r="J15" i="6"/>
  <c r="F57" i="6"/>
  <c r="H57" i="6"/>
  <c r="G39" i="6"/>
  <c r="G57" i="6"/>
  <c r="E24" i="6"/>
  <c r="E39" i="6"/>
  <c r="F39" i="6"/>
  <c r="F24" i="6"/>
  <c r="H24" i="6"/>
  <c r="I6" i="6"/>
  <c r="O151" i="6" l="1"/>
  <c r="O148" i="6" s="1"/>
  <c r="P152" i="6"/>
  <c r="P151" i="6" s="1"/>
  <c r="P148" i="6" s="1"/>
  <c r="J145" i="6"/>
  <c r="M70" i="6"/>
  <c r="L68" i="6"/>
  <c r="L56" i="6" s="1"/>
  <c r="K50" i="6"/>
  <c r="J49" i="6"/>
  <c r="K48" i="6"/>
  <c r="L48" i="6" s="1"/>
  <c r="M48" i="6" s="1"/>
  <c r="N48" i="6" s="1"/>
  <c r="O48" i="6" s="1"/>
  <c r="P48" i="6" s="1"/>
  <c r="J47" i="6"/>
  <c r="L16" i="6"/>
  <c r="K15" i="6"/>
  <c r="K145" i="6" s="1"/>
  <c r="H39" i="6"/>
  <c r="I57" i="6"/>
  <c r="I151" i="6"/>
  <c r="I154" i="6"/>
  <c r="I111" i="6" s="1"/>
  <c r="I109" i="6" l="1"/>
  <c r="P149" i="6"/>
  <c r="P194" i="6"/>
  <c r="O149" i="6"/>
  <c r="O194" i="6"/>
  <c r="I148" i="6"/>
  <c r="N70" i="6"/>
  <c r="O70" i="6" s="1"/>
  <c r="P70" i="6" s="1"/>
  <c r="M68" i="6"/>
  <c r="M56" i="6" s="1"/>
  <c r="L50" i="6"/>
  <c r="K49" i="6"/>
  <c r="J43" i="6"/>
  <c r="K47" i="6"/>
  <c r="M16" i="6"/>
  <c r="L15" i="6"/>
  <c r="L145" i="6" s="1"/>
  <c r="G24" i="6"/>
  <c r="J6" i="6"/>
  <c r="J57" i="6"/>
  <c r="J151" i="6"/>
  <c r="J154" i="6"/>
  <c r="K6" i="6"/>
  <c r="I194" i="6" l="1"/>
  <c r="J109" i="6"/>
  <c r="J111" i="6"/>
  <c r="J148" i="6"/>
  <c r="J41" i="6"/>
  <c r="J38" i="6" s="1"/>
  <c r="J140" i="6"/>
  <c r="N68" i="6"/>
  <c r="M50" i="6"/>
  <c r="L49" i="6"/>
  <c r="L47" i="6"/>
  <c r="K43" i="6"/>
  <c r="N16" i="6"/>
  <c r="O16" i="6" s="1"/>
  <c r="M15" i="6"/>
  <c r="M145" i="6" s="1"/>
  <c r="K154" i="6"/>
  <c r="K151" i="6"/>
  <c r="I42" i="6"/>
  <c r="K57" i="6"/>
  <c r="L57" i="6"/>
  <c r="I149" i="6"/>
  <c r="L151" i="6"/>
  <c r="L154" i="6"/>
  <c r="L6" i="6"/>
  <c r="J138" i="6" l="1"/>
  <c r="J117" i="6" s="1"/>
  <c r="J202" i="6" s="1"/>
  <c r="J194" i="6"/>
  <c r="O68" i="6"/>
  <c r="O56" i="6" s="1"/>
  <c r="O57" i="6" s="1"/>
  <c r="N56" i="6"/>
  <c r="K109" i="6"/>
  <c r="L109" i="6" s="1"/>
  <c r="O15" i="6"/>
  <c r="P16" i="6"/>
  <c r="P15" i="6" s="1"/>
  <c r="K111" i="6"/>
  <c r="L111" i="6" s="1"/>
  <c r="K148" i="6"/>
  <c r="L148" i="6"/>
  <c r="K41" i="6"/>
  <c r="K38" i="6" s="1"/>
  <c r="K140" i="6"/>
  <c r="N50" i="6"/>
  <c r="O50" i="6" s="1"/>
  <c r="M49" i="6"/>
  <c r="L43" i="6"/>
  <c r="M47" i="6"/>
  <c r="N15" i="6"/>
  <c r="N145" i="6" s="1"/>
  <c r="I39" i="6"/>
  <c r="J149" i="6"/>
  <c r="M154" i="6"/>
  <c r="P68" i="6" l="1"/>
  <c r="P56" i="6" s="1"/>
  <c r="P57" i="6" s="1"/>
  <c r="K138" i="6"/>
  <c r="K117" i="6" s="1"/>
  <c r="K202" i="6" s="1"/>
  <c r="P50" i="6"/>
  <c r="P49" i="6" s="1"/>
  <c r="O49" i="6"/>
  <c r="P145" i="6"/>
  <c r="O145" i="6"/>
  <c r="M111" i="6"/>
  <c r="K194" i="6"/>
  <c r="L194" i="6"/>
  <c r="L41" i="6"/>
  <c r="L38" i="6" s="1"/>
  <c r="L140" i="6"/>
  <c r="N49" i="6"/>
  <c r="N47" i="6"/>
  <c r="O47" i="6" s="1"/>
  <c r="M43" i="6"/>
  <c r="J42" i="6"/>
  <c r="M6" i="6"/>
  <c r="M57" i="6"/>
  <c r="M151" i="6"/>
  <c r="J39" i="6"/>
  <c r="K149" i="6"/>
  <c r="L149" i="6"/>
  <c r="L138" i="6" l="1"/>
  <c r="L117" i="6" s="1"/>
  <c r="L202" i="6" s="1"/>
  <c r="M109" i="6"/>
  <c r="P47" i="6"/>
  <c r="P43" i="6" s="1"/>
  <c r="O43" i="6"/>
  <c r="M148" i="6"/>
  <c r="M41" i="6"/>
  <c r="M38" i="6" s="1"/>
  <c r="M140" i="6"/>
  <c r="N43" i="6"/>
  <c r="K42" i="6"/>
  <c r="N6" i="6"/>
  <c r="N57" i="6"/>
  <c r="N154" i="6"/>
  <c r="N151" i="6"/>
  <c r="D163" i="6" s="1" a="1"/>
  <c r="M138" i="6" l="1"/>
  <c r="M117" i="6" s="1"/>
  <c r="M202" i="6" s="1"/>
  <c r="N111" i="6"/>
  <c r="O111" i="6" s="1"/>
  <c r="P111" i="6" s="1"/>
  <c r="D177" i="6" a="1"/>
  <c r="D170" i="6"/>
  <c r="P170" i="6" s="1"/>
  <c r="D165" i="6"/>
  <c r="D168" i="6"/>
  <c r="D164" i="6"/>
  <c r="D169" i="6"/>
  <c r="D167" i="6"/>
  <c r="D163" i="6"/>
  <c r="D166" i="6"/>
  <c r="P140" i="6"/>
  <c r="P41" i="6"/>
  <c r="O41" i="6"/>
  <c r="O140" i="6"/>
  <c r="N109" i="6"/>
  <c r="M194" i="6"/>
  <c r="N148" i="6"/>
  <c r="N41" i="6"/>
  <c r="N38" i="6" s="1"/>
  <c r="N140" i="6"/>
  <c r="M149" i="6"/>
  <c r="K39" i="6"/>
  <c r="L42" i="6"/>
  <c r="N138" i="6" l="1"/>
  <c r="N117" i="6" s="1"/>
  <c r="N202" i="6" s="1"/>
  <c r="P138" i="6"/>
  <c r="P117" i="6" s="1"/>
  <c r="O138" i="6"/>
  <c r="O117" i="6" s="1"/>
  <c r="N194" i="6"/>
  <c r="O109" i="6"/>
  <c r="P109" i="6" s="1"/>
  <c r="D184" i="6"/>
  <c r="P184" i="6" s="1"/>
  <c r="D182" i="6"/>
  <c r="D178" i="6"/>
  <c r="D179" i="6"/>
  <c r="D181" i="6"/>
  <c r="D177" i="6"/>
  <c r="D183" i="6"/>
  <c r="D180" i="6"/>
  <c r="J164" i="6"/>
  <c r="K164" i="6" s="1"/>
  <c r="N168" i="6"/>
  <c r="O168" i="6" s="1"/>
  <c r="P168" i="6" s="1"/>
  <c r="L166" i="6"/>
  <c r="M166" i="6" s="1"/>
  <c r="M167" i="6"/>
  <c r="N167" i="6" s="1"/>
  <c r="K165" i="6"/>
  <c r="L165" i="6" s="1"/>
  <c r="M165" i="6" s="1"/>
  <c r="O169" i="6"/>
  <c r="P169" i="6" s="1"/>
  <c r="O42" i="6"/>
  <c r="O38" i="6"/>
  <c r="P42" i="6"/>
  <c r="P38" i="6"/>
  <c r="R5" i="6"/>
  <c r="M42" i="6"/>
  <c r="L39" i="6"/>
  <c r="N149" i="6"/>
  <c r="O202" i="6" l="1"/>
  <c r="P202" i="6"/>
  <c r="O39" i="6"/>
  <c r="P39" i="6"/>
  <c r="N182" i="6"/>
  <c r="O182" i="6" s="1"/>
  <c r="P182" i="6" s="1"/>
  <c r="J178" i="6"/>
  <c r="M181" i="6"/>
  <c r="N181" i="6" s="1"/>
  <c r="O181" i="6" s="1"/>
  <c r="O183" i="6"/>
  <c r="P183" i="6" s="1"/>
  <c r="L180" i="6"/>
  <c r="M180" i="6" s="1"/>
  <c r="K179" i="6"/>
  <c r="L179" i="6" s="1"/>
  <c r="M179" i="6" s="1"/>
  <c r="O167" i="6"/>
  <c r="P167" i="6" s="1"/>
  <c r="N165" i="6"/>
  <c r="N166" i="6"/>
  <c r="O166" i="6" s="1"/>
  <c r="P166" i="6" s="1"/>
  <c r="L164" i="6"/>
  <c r="N42" i="6"/>
  <c r="M39" i="6"/>
  <c r="N179" i="6" l="1"/>
  <c r="O179" i="6" s="1"/>
  <c r="P179" i="6" s="1"/>
  <c r="K178" i="6"/>
  <c r="L178" i="6" s="1"/>
  <c r="N180" i="6"/>
  <c r="O180" i="6" s="1"/>
  <c r="P180" i="6" s="1"/>
  <c r="P181" i="6"/>
  <c r="M164" i="6"/>
  <c r="N164" i="6" s="1"/>
  <c r="O164" i="6" s="1"/>
  <c r="P164" i="6" s="1"/>
  <c r="O165" i="6"/>
  <c r="P165" i="6" s="1"/>
  <c r="I163" i="6"/>
  <c r="N39" i="6"/>
  <c r="I177" i="6"/>
  <c r="I176" i="6" l="1"/>
  <c r="I172" i="6" s="1"/>
  <c r="I112" i="6" s="1"/>
  <c r="M178" i="6"/>
  <c r="I162" i="6"/>
  <c r="I158" i="6" s="1"/>
  <c r="I110" i="6" s="1"/>
  <c r="J163" i="6"/>
  <c r="J162" i="6" s="1"/>
  <c r="J177" i="6"/>
  <c r="J176" i="6" l="1"/>
  <c r="J172" i="6" s="1"/>
  <c r="J112" i="6" s="1"/>
  <c r="N178" i="6"/>
  <c r="O178" i="6" s="1"/>
  <c r="K177" i="6"/>
  <c r="K163" i="6"/>
  <c r="I108" i="6"/>
  <c r="J158" i="6"/>
  <c r="J110" i="6" s="1"/>
  <c r="P178" i="6" l="1"/>
  <c r="L177" i="6"/>
  <c r="L176" i="6" s="1"/>
  <c r="K176" i="6"/>
  <c r="K172" i="6" s="1"/>
  <c r="K112" i="6" s="1"/>
  <c r="K162" i="6"/>
  <c r="K158" i="6" s="1"/>
  <c r="K110" i="6" s="1"/>
  <c r="L163" i="6"/>
  <c r="J108" i="6"/>
  <c r="M177" i="6" l="1"/>
  <c r="M176" i="6" s="1"/>
  <c r="M172" i="6" s="1"/>
  <c r="L162" i="6"/>
  <c r="L158" i="6" s="1"/>
  <c r="L110" i="6" s="1"/>
  <c r="M163" i="6"/>
  <c r="K108" i="6"/>
  <c r="L172" i="6"/>
  <c r="L112" i="6" s="1"/>
  <c r="N177" i="6" l="1"/>
  <c r="M162" i="6"/>
  <c r="M158" i="6" s="1"/>
  <c r="M110" i="6" s="1"/>
  <c r="N163" i="6"/>
  <c r="N162" i="6" s="1"/>
  <c r="N158" i="6" s="1"/>
  <c r="M112" i="6"/>
  <c r="L108" i="6"/>
  <c r="O177" i="6" l="1"/>
  <c r="N176" i="6"/>
  <c r="N172" i="6" s="1"/>
  <c r="N112" i="6" s="1"/>
  <c r="O163" i="6"/>
  <c r="N110" i="6"/>
  <c r="M108" i="6"/>
  <c r="O176" i="6" l="1"/>
  <c r="O172" i="6" s="1"/>
  <c r="O112" i="6" s="1"/>
  <c r="P177" i="6"/>
  <c r="P176" i="6" s="1"/>
  <c r="P172" i="6" s="1"/>
  <c r="O162" i="6"/>
  <c r="O158" i="6" s="1"/>
  <c r="P163" i="6"/>
  <c r="P162" i="6" s="1"/>
  <c r="P158" i="6" s="1"/>
  <c r="N108" i="6"/>
  <c r="O157" i="6" l="1"/>
  <c r="O76" i="6" s="1"/>
  <c r="O193" i="6" s="1"/>
  <c r="P157" i="6"/>
  <c r="P76" i="6" s="1"/>
  <c r="P193" i="6" s="1"/>
  <c r="P112" i="6"/>
  <c r="O110" i="6"/>
  <c r="O108" i="6" l="1"/>
  <c r="P110" i="6"/>
  <c r="P108" i="6" l="1"/>
  <c r="F17" i="6" l="1"/>
  <c r="H17" i="6"/>
  <c r="G17" i="6" l="1"/>
  <c r="H18" i="6"/>
  <c r="I18" i="6" s="1"/>
  <c r="H13" i="6"/>
  <c r="F18" i="6"/>
  <c r="F13" i="6"/>
  <c r="E17" i="6"/>
  <c r="H20" i="6" l="1"/>
  <c r="H14" i="6"/>
  <c r="G18" i="6"/>
  <c r="G13" i="6"/>
  <c r="E18" i="6"/>
  <c r="E13" i="6"/>
  <c r="I17" i="6"/>
  <c r="I13" i="6" s="1"/>
  <c r="J18" i="6"/>
  <c r="F20" i="6"/>
  <c r="F14" i="6"/>
  <c r="I20" i="6" l="1"/>
  <c r="I14" i="6"/>
  <c r="F35" i="6"/>
  <c r="F21" i="6"/>
  <c r="E20" i="6"/>
  <c r="E14" i="6"/>
  <c r="K18" i="6"/>
  <c r="J17" i="6"/>
  <c r="J13" i="6" s="1"/>
  <c r="G20" i="6"/>
  <c r="G14" i="6"/>
  <c r="H35" i="6"/>
  <c r="H21" i="6"/>
  <c r="H36" i="6" l="1"/>
  <c r="H73" i="6"/>
  <c r="E35" i="6"/>
  <c r="E21" i="6"/>
  <c r="K17" i="6"/>
  <c r="K13" i="6" s="1"/>
  <c r="L18" i="6"/>
  <c r="J20" i="6"/>
  <c r="J14" i="6"/>
  <c r="F73" i="6"/>
  <c r="F36" i="6"/>
  <c r="G35" i="6"/>
  <c r="G21" i="6"/>
  <c r="I21" i="6"/>
  <c r="G83" i="6" l="1"/>
  <c r="F78" i="6"/>
  <c r="F74" i="6"/>
  <c r="M18" i="6"/>
  <c r="L17" i="6"/>
  <c r="L13" i="6" s="1"/>
  <c r="E73" i="6"/>
  <c r="E36" i="6"/>
  <c r="K20" i="6"/>
  <c r="K14" i="6"/>
  <c r="H78" i="6"/>
  <c r="H74" i="6"/>
  <c r="G36" i="6"/>
  <c r="G73" i="6"/>
  <c r="J21" i="6"/>
  <c r="H83" i="6" l="1"/>
  <c r="G123" i="6"/>
  <c r="F119" i="6"/>
  <c r="F83" i="6"/>
  <c r="G119" i="6"/>
  <c r="E83" i="6"/>
  <c r="E81" i="6" s="1"/>
  <c r="E119" i="6"/>
  <c r="G74" i="6"/>
  <c r="G78" i="6"/>
  <c r="E74" i="6"/>
  <c r="E78" i="6"/>
  <c r="K21" i="6"/>
  <c r="L20" i="6"/>
  <c r="L14" i="6"/>
  <c r="H190" i="6"/>
  <c r="H79" i="6"/>
  <c r="M17" i="6"/>
  <c r="M13" i="6" s="1"/>
  <c r="N18" i="6"/>
  <c r="F190" i="6"/>
  <c r="F191" i="6" s="1"/>
  <c r="F79" i="6"/>
  <c r="G122" i="6" l="1"/>
  <c r="H123" i="6"/>
  <c r="H119" i="6"/>
  <c r="D221" i="6" s="1"/>
  <c r="E123" i="6"/>
  <c r="N17" i="6"/>
  <c r="N13" i="6" s="1"/>
  <c r="N20" i="6" s="1"/>
  <c r="O18" i="6"/>
  <c r="L21" i="6"/>
  <c r="E79" i="6"/>
  <c r="E89" i="6"/>
  <c r="M20" i="6"/>
  <c r="M14" i="6"/>
  <c r="H191" i="6"/>
  <c r="H192" i="6" s="1"/>
  <c r="G190" i="6"/>
  <c r="G79" i="6"/>
  <c r="B39" i="7" l="1"/>
  <c r="I119" i="6"/>
  <c r="H206" i="6"/>
  <c r="H122" i="6"/>
  <c r="I123" i="6"/>
  <c r="F123" i="6"/>
  <c r="E122" i="6"/>
  <c r="E90" i="6"/>
  <c r="E146" i="6" s="1"/>
  <c r="E144" i="6" s="1"/>
  <c r="N14" i="6"/>
  <c r="O17" i="6"/>
  <c r="O13" i="6" s="1"/>
  <c r="P18" i="6"/>
  <c r="P17" i="6" s="1"/>
  <c r="P13" i="6" s="1"/>
  <c r="M21" i="6"/>
  <c r="G191" i="6"/>
  <c r="G192" i="6" s="1"/>
  <c r="N21" i="6"/>
  <c r="E91" i="6" l="1"/>
  <c r="E93" i="6"/>
  <c r="E94" i="6" s="1"/>
  <c r="F122" i="6"/>
  <c r="G206" i="6"/>
  <c r="I206" i="6"/>
  <c r="J123" i="6"/>
  <c r="I122" i="6"/>
  <c r="F206" i="6"/>
  <c r="J119" i="6"/>
  <c r="E118" i="6"/>
  <c r="P14" i="6"/>
  <c r="P20" i="6"/>
  <c r="O14" i="6"/>
  <c r="O20" i="6"/>
  <c r="E95" i="6"/>
  <c r="K123" i="6" l="1"/>
  <c r="J122" i="6"/>
  <c r="K119" i="6"/>
  <c r="J206" i="6"/>
  <c r="E136" i="6"/>
  <c r="O21" i="6"/>
  <c r="O35" i="6"/>
  <c r="P21" i="6"/>
  <c r="P35" i="6"/>
  <c r="G157" i="6"/>
  <c r="I23" i="6"/>
  <c r="I35" i="6" l="1"/>
  <c r="I73" i="6" s="1"/>
  <c r="L119" i="6"/>
  <c r="K206" i="6"/>
  <c r="L123" i="6"/>
  <c r="K122" i="6"/>
  <c r="P36" i="6"/>
  <c r="P73" i="6"/>
  <c r="D225" i="6" s="1"/>
  <c r="D226" i="6" s="1"/>
  <c r="D219" i="6" s="1"/>
  <c r="O36" i="6"/>
  <c r="O73" i="6"/>
  <c r="H157" i="6"/>
  <c r="I24" i="6"/>
  <c r="I36" i="6" l="1"/>
  <c r="M123" i="6"/>
  <c r="L122" i="6"/>
  <c r="M119" i="6"/>
  <c r="L206" i="6"/>
  <c r="P74" i="6"/>
  <c r="P78" i="6"/>
  <c r="O74" i="6"/>
  <c r="O78" i="6"/>
  <c r="I157" i="6"/>
  <c r="I74" i="6"/>
  <c r="N119" i="6" l="1"/>
  <c r="M206" i="6"/>
  <c r="M122" i="6"/>
  <c r="N123" i="6"/>
  <c r="O190" i="6"/>
  <c r="O79" i="6"/>
  <c r="O89" i="6"/>
  <c r="P190" i="6"/>
  <c r="P79" i="6"/>
  <c r="P89" i="6"/>
  <c r="I76" i="6"/>
  <c r="I193" i="6" s="1"/>
  <c r="O123" i="6" l="1"/>
  <c r="N122" i="6"/>
  <c r="O119" i="6"/>
  <c r="N206" i="6"/>
  <c r="P191" i="6"/>
  <c r="P192" i="6" s="1"/>
  <c r="P90" i="6"/>
  <c r="O90" i="6"/>
  <c r="O93" i="6" s="1"/>
  <c r="O94" i="6" s="1"/>
  <c r="O191" i="6"/>
  <c r="O192" i="6" s="1"/>
  <c r="J157" i="6"/>
  <c r="J76" i="6" s="1"/>
  <c r="J193" i="6" s="1"/>
  <c r="I78" i="6"/>
  <c r="I190" i="6" s="1"/>
  <c r="P119" i="6" l="1"/>
  <c r="O206" i="6"/>
  <c r="O122" i="6"/>
  <c r="P123" i="6"/>
  <c r="P146" i="6"/>
  <c r="P144" i="6" s="1"/>
  <c r="P208" i="6"/>
  <c r="O146" i="6"/>
  <c r="O144" i="6" s="1"/>
  <c r="O208" i="6"/>
  <c r="P93" i="6"/>
  <c r="P94" i="6" s="1"/>
  <c r="I191" i="6"/>
  <c r="I192" i="6" s="1"/>
  <c r="K157" i="6"/>
  <c r="K76" i="6" s="1"/>
  <c r="K193" i="6" s="1"/>
  <c r="I79" i="6"/>
  <c r="I89" i="6"/>
  <c r="I90" i="6" s="1"/>
  <c r="P122" i="6" l="1"/>
  <c r="P206" i="6"/>
  <c r="I146" i="6"/>
  <c r="I144" i="6" s="1"/>
  <c r="I208" i="6"/>
  <c r="L157" i="6"/>
  <c r="L76" i="6" s="1"/>
  <c r="L193" i="6" s="1"/>
  <c r="I93" i="6"/>
  <c r="I94" i="6" s="1"/>
  <c r="M157" i="6" l="1"/>
  <c r="M76" i="6" s="1"/>
  <c r="M193" i="6" s="1"/>
  <c r="N157" i="6" l="1"/>
  <c r="N76" i="6" s="1"/>
  <c r="N193" i="6" s="1"/>
  <c r="J81" i="6" l="1"/>
  <c r="J207" i="6" s="1"/>
  <c r="J23" i="6" l="1"/>
  <c r="K23" i="6"/>
  <c r="L23" i="6"/>
  <c r="M23" i="6"/>
  <c r="N23" i="6"/>
  <c r="L35" i="6" l="1"/>
  <c r="M24" i="6"/>
  <c r="L73" i="6"/>
  <c r="L36" i="6"/>
  <c r="K24" i="6"/>
  <c r="N24" i="6"/>
  <c r="N35" i="6"/>
  <c r="J24" i="6"/>
  <c r="J35" i="6"/>
  <c r="M35" i="6"/>
  <c r="K35" i="6"/>
  <c r="L24" i="6"/>
  <c r="N36" i="6" l="1"/>
  <c r="N73" i="6"/>
  <c r="M36" i="6"/>
  <c r="M73" i="6"/>
  <c r="J36" i="6"/>
  <c r="J73" i="6"/>
  <c r="K73" i="6"/>
  <c r="K36" i="6"/>
  <c r="L78" i="6"/>
  <c r="L190" i="6" s="1"/>
  <c r="L74" i="6"/>
  <c r="L191" i="6" l="1"/>
  <c r="L192" i="6" s="1"/>
  <c r="L79" i="6"/>
  <c r="J74" i="6"/>
  <c r="J78" i="6"/>
  <c r="J190" i="6" s="1"/>
  <c r="K78" i="6"/>
  <c r="K190" i="6" s="1"/>
  <c r="K74" i="6"/>
  <c r="M74" i="6"/>
  <c r="M78" i="6"/>
  <c r="M190" i="6" s="1"/>
  <c r="N74" i="6"/>
  <c r="N78" i="6"/>
  <c r="N190" i="6" s="1"/>
  <c r="N191" i="6" l="1"/>
  <c r="N192" i="6" s="1"/>
  <c r="K191" i="6"/>
  <c r="K192" i="6" s="1"/>
  <c r="M191" i="6"/>
  <c r="M192" i="6" s="1"/>
  <c r="J191" i="6"/>
  <c r="J192" i="6" s="1"/>
  <c r="N79" i="6"/>
  <c r="K79" i="6"/>
  <c r="M79" i="6"/>
  <c r="J79" i="6"/>
  <c r="J89" i="6"/>
  <c r="J90" i="6" l="1"/>
  <c r="J146" i="6" l="1"/>
  <c r="J144" i="6" s="1"/>
  <c r="J208" i="6"/>
  <c r="J93" i="6"/>
  <c r="J94" i="6" l="1"/>
  <c r="K81" i="6" l="1"/>
  <c r="K89" i="6" l="1"/>
  <c r="K90" i="6" s="1"/>
  <c r="K146" i="6" s="1"/>
  <c r="K144" i="6" s="1"/>
  <c r="K207" i="6"/>
  <c r="L81" i="6"/>
  <c r="K208" i="6" l="1"/>
  <c r="L89" i="6"/>
  <c r="L90" i="6" s="1"/>
  <c r="L208" i="6" s="1"/>
  <c r="L207" i="6"/>
  <c r="M81" i="6"/>
  <c r="K93" i="6"/>
  <c r="L146" i="6" l="1"/>
  <c r="L144" i="6" s="1"/>
  <c r="M89" i="6"/>
  <c r="M90" i="6" s="1"/>
  <c r="M208" i="6" s="1"/>
  <c r="M207" i="6"/>
  <c r="K94" i="6"/>
  <c r="N81" i="6"/>
  <c r="M146" i="6" l="1"/>
  <c r="M144" i="6" s="1"/>
  <c r="N89" i="6"/>
  <c r="N90" i="6" s="1"/>
  <c r="N146" i="6" s="1"/>
  <c r="N144" i="6" s="1"/>
  <c r="N207" i="6"/>
  <c r="L93" i="6"/>
  <c r="L94" i="6" s="1"/>
  <c r="N208" i="6" l="1"/>
  <c r="M93" i="6"/>
  <c r="M94" i="6" s="1"/>
  <c r="N93" i="6"/>
  <c r="N94" i="6" s="1"/>
  <c r="E115" i="6" l="1"/>
  <c r="E102" i="6"/>
  <c r="E114" i="6" l="1"/>
  <c r="E101" i="6"/>
  <c r="E129" i="6" l="1"/>
  <c r="F157" i="6"/>
  <c r="F192" i="6" l="1"/>
  <c r="F82" i="6" l="1"/>
  <c r="F81" i="6" s="1"/>
  <c r="F89" i="6" s="1"/>
  <c r="F207" i="6" l="1"/>
  <c r="F90" i="6" l="1"/>
  <c r="F208" i="6" s="1"/>
  <c r="F118" i="6"/>
  <c r="F103" i="6" l="1"/>
  <c r="F93" i="6"/>
  <c r="F94" i="6" s="1"/>
  <c r="F91" i="6"/>
  <c r="F146" i="6"/>
  <c r="F144" i="6" s="1"/>
  <c r="F136" i="6" s="1"/>
  <c r="F115" i="6"/>
  <c r="F203" i="6"/>
  <c r="F200" i="6" s="1"/>
  <c r="F195" i="6" s="1"/>
  <c r="F205" i="6" s="1"/>
  <c r="F127" i="6" l="1"/>
  <c r="F125" i="6" s="1"/>
  <c r="G82" i="6"/>
  <c r="G81" i="6" s="1"/>
  <c r="F95" i="6"/>
  <c r="F102" i="6"/>
  <c r="F209" i="6" l="1"/>
  <c r="F114" i="6"/>
  <c r="G89" i="6"/>
  <c r="G207" i="6"/>
  <c r="F101" i="6"/>
  <c r="F129" i="6" l="1"/>
  <c r="G90" i="6" l="1"/>
  <c r="G118" i="6" l="1"/>
  <c r="G146" i="6"/>
  <c r="G144" i="6" s="1"/>
  <c r="G208" i="6"/>
  <c r="G91" i="6"/>
  <c r="G93" i="6"/>
  <c r="G127" i="6"/>
  <c r="G103" i="6" l="1"/>
  <c r="G94" i="6"/>
  <c r="G95" i="6"/>
  <c r="G136" i="6"/>
  <c r="G115" i="6"/>
  <c r="G203" i="6"/>
  <c r="G200" i="6" s="1"/>
  <c r="G195" i="6" s="1"/>
  <c r="G205" i="6" s="1"/>
  <c r="G125" i="6"/>
  <c r="G114" i="6" l="1"/>
  <c r="G102" i="6"/>
  <c r="H82" i="6"/>
  <c r="H81" i="6" s="1"/>
  <c r="G209" i="6" l="1"/>
  <c r="G101" i="6"/>
  <c r="H207" i="6"/>
  <c r="H89" i="6"/>
  <c r="G129" i="6" l="1"/>
  <c r="H90" i="6"/>
  <c r="H93" i="6" s="1"/>
  <c r="H94" i="6" s="1"/>
  <c r="H118" i="6" l="1"/>
  <c r="H208" i="6"/>
  <c r="H146" i="6"/>
  <c r="H144" i="6" s="1"/>
  <c r="H91" i="6"/>
  <c r="H95" i="6"/>
  <c r="D95" i="6" s="1"/>
  <c r="H127" i="6" l="1"/>
  <c r="I127" i="6" s="1"/>
  <c r="H115" i="6"/>
  <c r="H136" i="6"/>
  <c r="H203" i="6"/>
  <c r="H200" i="6" s="1"/>
  <c r="H195" i="6" s="1"/>
  <c r="H205" i="6" s="1"/>
  <c r="H103" i="6"/>
  <c r="D222" i="6" s="1"/>
  <c r="J127" i="6" l="1"/>
  <c r="I125" i="6"/>
  <c r="I136" i="6"/>
  <c r="I118" i="6" s="1"/>
  <c r="H102" i="6"/>
  <c r="H125" i="6"/>
  <c r="B40" i="7" l="1"/>
  <c r="B21" i="7"/>
  <c r="E21" i="7" s="1"/>
  <c r="B26" i="7" s="1"/>
  <c r="B30" i="7" s="1"/>
  <c r="B33" i="7" s="1"/>
  <c r="B36" i="7" s="1"/>
  <c r="H114" i="6"/>
  <c r="H209" i="6"/>
  <c r="I115" i="6"/>
  <c r="I203" i="6"/>
  <c r="I200" i="6" s="1"/>
  <c r="I195" i="6" s="1"/>
  <c r="I205" i="6" s="1"/>
  <c r="K127" i="6"/>
  <c r="J125" i="6"/>
  <c r="H101" i="6"/>
  <c r="J136" i="6"/>
  <c r="J118" i="6" s="1"/>
  <c r="B43" i="7" l="1"/>
  <c r="B42" i="7"/>
  <c r="J203" i="6"/>
  <c r="J200" i="6" s="1"/>
  <c r="J195" i="6" s="1"/>
  <c r="J205" i="6" s="1"/>
  <c r="J115" i="6"/>
  <c r="L127" i="6"/>
  <c r="K125" i="6"/>
  <c r="I114" i="6"/>
  <c r="K136" i="6"/>
  <c r="K118" i="6" s="1"/>
  <c r="H129" i="6"/>
  <c r="B48" i="7" l="1"/>
  <c r="I218" i="6"/>
  <c r="M127" i="6"/>
  <c r="L125" i="6"/>
  <c r="I209" i="6"/>
  <c r="J114" i="6"/>
  <c r="K203" i="6"/>
  <c r="K200" i="6" s="1"/>
  <c r="K195" i="6" s="1"/>
  <c r="K205" i="6" s="1"/>
  <c r="K115" i="6"/>
  <c r="L136" i="6"/>
  <c r="L118" i="6" s="1"/>
  <c r="J218" i="6" l="1"/>
  <c r="J209" i="6"/>
  <c r="L203" i="6"/>
  <c r="L200" i="6" s="1"/>
  <c r="L195" i="6" s="1"/>
  <c r="L205" i="6" s="1"/>
  <c r="L115" i="6"/>
  <c r="K114" i="6"/>
  <c r="I103" i="6"/>
  <c r="N127" i="6"/>
  <c r="O127" i="6" s="1"/>
  <c r="M125" i="6"/>
  <c r="M136" i="6"/>
  <c r="M118" i="6" s="1"/>
  <c r="P127" i="6" l="1"/>
  <c r="P125" i="6" s="1"/>
  <c r="O125" i="6"/>
  <c r="K218" i="6"/>
  <c r="J103" i="6"/>
  <c r="I102" i="6"/>
  <c r="L114" i="6"/>
  <c r="M203" i="6"/>
  <c r="M200" i="6" s="1"/>
  <c r="M195" i="6" s="1"/>
  <c r="M205" i="6" s="1"/>
  <c r="M115" i="6"/>
  <c r="N125" i="6"/>
  <c r="K209" i="6"/>
  <c r="N136" i="6"/>
  <c r="O136" i="6" s="1"/>
  <c r="P136" i="6" l="1"/>
  <c r="P118" i="6" s="1"/>
  <c r="O118" i="6"/>
  <c r="L218" i="6"/>
  <c r="M114" i="6"/>
  <c r="I101" i="6"/>
  <c r="K103" i="6"/>
  <c r="J102" i="6"/>
  <c r="N118" i="6"/>
  <c r="L209" i="6"/>
  <c r="O203" i="6" l="1"/>
  <c r="O200" i="6" s="1"/>
  <c r="O195" i="6" s="1"/>
  <c r="O205" i="6" s="1"/>
  <c r="O115" i="6"/>
  <c r="O114" i="6" s="1"/>
  <c r="P203" i="6"/>
  <c r="P200" i="6" s="1"/>
  <c r="P195" i="6" s="1"/>
  <c r="P205" i="6" s="1"/>
  <c r="P115" i="6"/>
  <c r="P114" i="6" s="1"/>
  <c r="M218" i="6"/>
  <c r="J101" i="6"/>
  <c r="N203" i="6"/>
  <c r="N200" i="6" s="1"/>
  <c r="N195" i="6" s="1"/>
  <c r="N205" i="6" s="1"/>
  <c r="N115" i="6"/>
  <c r="K102" i="6"/>
  <c r="L103" i="6"/>
  <c r="I129" i="6"/>
  <c r="M209" i="6"/>
  <c r="M103" i="6" l="1"/>
  <c r="L102" i="6"/>
  <c r="N114" i="6"/>
  <c r="K101" i="6"/>
  <c r="J129" i="6"/>
  <c r="P218" i="6" l="1"/>
  <c r="O209" i="6"/>
  <c r="P209" i="6"/>
  <c r="O218" i="6"/>
  <c r="N218" i="6"/>
  <c r="L101" i="6"/>
  <c r="N209" i="6"/>
  <c r="K129" i="6"/>
  <c r="M102" i="6"/>
  <c r="D218" i="6" l="1"/>
  <c r="N103" i="6"/>
  <c r="M101" i="6"/>
  <c r="L129" i="6"/>
  <c r="N102" i="6" l="1"/>
  <c r="O103" i="6"/>
  <c r="D220" i="6"/>
  <c r="D223" i="6" s="1"/>
  <c r="M129" i="6"/>
  <c r="N101" i="6"/>
  <c r="O102" i="6" l="1"/>
  <c r="O101" i="6" s="1"/>
  <c r="O129" i="6" s="1"/>
  <c r="P103" i="6"/>
  <c r="N129" i="6"/>
  <c r="P102" i="6" l="1"/>
  <c r="P101" i="6" s="1"/>
  <c r="P129" i="6" s="1"/>
</calcChain>
</file>

<file path=xl/sharedStrings.xml><?xml version="1.0" encoding="utf-8"?>
<sst xmlns="http://schemas.openxmlformats.org/spreadsheetml/2006/main" count="516" uniqueCount="195">
  <si>
    <t>Enterprise Value</t>
  </si>
  <si>
    <t>EBITDA</t>
  </si>
  <si>
    <t>Equity Value</t>
  </si>
  <si>
    <t>WACC YoY</t>
  </si>
  <si>
    <t>VALUATION</t>
  </si>
  <si>
    <t>Check</t>
  </si>
  <si>
    <t>[R$]</t>
  </si>
  <si>
    <t>FREE CASH FLOW TO EQUITY</t>
  </si>
  <si>
    <t>FREE CASH FLOW TO FIRM</t>
  </si>
  <si>
    <t>(-) Capex</t>
  </si>
  <si>
    <t>NOPAT</t>
  </si>
  <si>
    <t>EBIT</t>
  </si>
  <si>
    <t>FCF</t>
  </si>
  <si>
    <t>2024E</t>
  </si>
  <si>
    <t>2023E</t>
  </si>
  <si>
    <t>2022E</t>
  </si>
  <si>
    <t>2021E</t>
  </si>
  <si>
    <t>2020E</t>
  </si>
  <si>
    <t>Novos investimentos</t>
  </si>
  <si>
    <t>Ativos existentes</t>
  </si>
  <si>
    <t>Amortização</t>
  </si>
  <si>
    <t>Depreciação e amortização</t>
  </si>
  <si>
    <t>[%]</t>
  </si>
  <si>
    <t>[#]</t>
  </si>
  <si>
    <t>Capex</t>
  </si>
  <si>
    <t>Working Capital</t>
  </si>
  <si>
    <t>Check BS</t>
  </si>
  <si>
    <t>Outros</t>
  </si>
  <si>
    <t>Unit</t>
  </si>
  <si>
    <t>Caixa e equivalentes</t>
  </si>
  <si>
    <t>Contas a receber</t>
  </si>
  <si>
    <t>Estoques</t>
  </si>
  <si>
    <t>Obrigações fiscais</t>
  </si>
  <si>
    <t>Obrigações trabalhistas</t>
  </si>
  <si>
    <t>Impostos sobre as vendas</t>
  </si>
  <si>
    <t>Devoluções</t>
  </si>
  <si>
    <t>Custo dos produtos vendidos</t>
  </si>
  <si>
    <t>COGS</t>
  </si>
  <si>
    <t>2019E</t>
  </si>
  <si>
    <t>Margem EBITDA</t>
  </si>
  <si>
    <t>Receita líquida</t>
  </si>
  <si>
    <t>CAGR 16-24</t>
  </si>
  <si>
    <t>Comercial</t>
  </si>
  <si>
    <t>2025E</t>
  </si>
  <si>
    <t>DEMONSTRATIVO DE RESULTADOS</t>
  </si>
  <si>
    <t>Receita Bruta</t>
  </si>
  <si>
    <t># produtos vendidos</t>
  </si>
  <si>
    <t>Deduções</t>
  </si>
  <si>
    <t>% crescimento</t>
  </si>
  <si>
    <t>% receita bruta</t>
  </si>
  <si>
    <t>Receita Líquida</t>
  </si>
  <si>
    <t>Custo produtos</t>
  </si>
  <si>
    <t>Pessoal</t>
  </si>
  <si>
    <t># funcionários</t>
  </si>
  <si>
    <t>Lucro Bruto</t>
  </si>
  <si>
    <t>Margem bruta</t>
  </si>
  <si>
    <t>Despesas Operacionais (SG&amp;A)</t>
  </si>
  <si>
    <t>Despesas comerciais</t>
  </si>
  <si>
    <t>Comissões</t>
  </si>
  <si>
    <t>Marketing</t>
  </si>
  <si>
    <t>Despesas gerais e administrativas</t>
  </si>
  <si>
    <t>Aluguéis e utilidades</t>
  </si>
  <si>
    <t>Despesas gerais e adm</t>
  </si>
  <si>
    <t>Resultado financeiro</t>
  </si>
  <si>
    <t>Despesas financeiras</t>
  </si>
  <si>
    <t>Receitas financeiras</t>
  </si>
  <si>
    <t>Resultado não-operacional</t>
  </si>
  <si>
    <t>Outras receitas</t>
  </si>
  <si>
    <t>Outras despesas</t>
  </si>
  <si>
    <t>IR/CSLL</t>
  </si>
  <si>
    <t>Lucro Líquido</t>
  </si>
  <si>
    <t>Margem líquida</t>
  </si>
  <si>
    <t>Margem EBIT</t>
  </si>
  <si>
    <t>BALANÇO PATRIMONIAL</t>
  </si>
  <si>
    <t>ATIVO</t>
  </si>
  <si>
    <t>ATVO CIRCULANTE</t>
  </si>
  <si>
    <t>ATIVO NÃO CIRCULANTE</t>
  </si>
  <si>
    <t>Estoque</t>
  </si>
  <si>
    <t>Imobilizado</t>
  </si>
  <si>
    <t>(-) Depreciação acumulada</t>
  </si>
  <si>
    <t>Intangível</t>
  </si>
  <si>
    <t>(-) Amortização acumulada</t>
  </si>
  <si>
    <t>PASSIVO</t>
  </si>
  <si>
    <t>PASSIVO CIRCULANTE</t>
  </si>
  <si>
    <t>Contas a pagar</t>
  </si>
  <si>
    <t>Empréstimos e financiamentos</t>
  </si>
  <si>
    <t>PASSIVO NÃO CIRCULANTE</t>
  </si>
  <si>
    <t>PATRIMÔNIO LÍQUIDO</t>
  </si>
  <si>
    <t>Capital social</t>
  </si>
  <si>
    <t>Lucros/prejuízos acumulados</t>
  </si>
  <si>
    <t>(-) IR/CSLL Operacional</t>
  </si>
  <si>
    <t>(+) Depreciação e Amortização</t>
  </si>
  <si>
    <t>(-) Resultado financeiro e não-operacional</t>
  </si>
  <si>
    <t>(+) Ajuste de IR/CSLL não-operacional</t>
  </si>
  <si>
    <t>Preço médio</t>
  </si>
  <si>
    <t>[R$/unidade]</t>
  </si>
  <si>
    <t>Aumento de unidades vendidas</t>
  </si>
  <si>
    <t>Variação no preço médio</t>
  </si>
  <si>
    <t>Custos operacionais</t>
  </si>
  <si>
    <t>Crescimento custo médio / func.</t>
  </si>
  <si>
    <t>[R$ / FTE]</t>
  </si>
  <si>
    <t>Qtd produzida / func.</t>
  </si>
  <si>
    <t>Qtd vendida / func.</t>
  </si>
  <si>
    <t>Custo médio / funcionário</t>
  </si>
  <si>
    <t>Gerais e administrativas</t>
  </si>
  <si>
    <t>LAIR</t>
  </si>
  <si>
    <t>% LAIR</t>
  </si>
  <si>
    <t>DEMONSTRATIVO DO RESULTADO</t>
  </si>
  <si>
    <t>Custo+desp pessoal</t>
  </si>
  <si>
    <t>Produção</t>
  </si>
  <si>
    <t>Administrativo</t>
  </si>
  <si>
    <t>Recebíveis</t>
  </si>
  <si>
    <t>Fornecedores</t>
  </si>
  <si>
    <t>Total impostos</t>
  </si>
  <si>
    <t>Imp. s/ faturamento</t>
  </si>
  <si>
    <t>[dias]</t>
  </si>
  <si>
    <t>[faturamento]</t>
  </si>
  <si>
    <t>[custo]</t>
  </si>
  <si>
    <t>[salários e encargos]</t>
  </si>
  <si>
    <t>[impostos]</t>
  </si>
  <si>
    <t>Depreciação</t>
  </si>
  <si>
    <t>Período</t>
  </si>
  <si>
    <t>Histórico</t>
  </si>
  <si>
    <t>Data base</t>
  </si>
  <si>
    <t>2026E</t>
  </si>
  <si>
    <t>VPL - Fluxo explícito</t>
  </si>
  <si>
    <t>(-) Variação nos Ativos</t>
  </si>
  <si>
    <t>(-) Contas a receber</t>
  </si>
  <si>
    <t>(-) Estoque</t>
  </si>
  <si>
    <t>(-) Outros</t>
  </si>
  <si>
    <t>(+) Variação nos Passivos</t>
  </si>
  <si>
    <t>(+) Contas a pagar</t>
  </si>
  <si>
    <t>(+) Obrigações trabalhistas</t>
  </si>
  <si>
    <t>(+) Obrigações fiscais</t>
  </si>
  <si>
    <t>(+) Outros passivos</t>
  </si>
  <si>
    <t>(+) Variação no endividamento</t>
  </si>
  <si>
    <t>Projeções</t>
  </si>
  <si>
    <t>Crescimento qtd vendida/ func.</t>
  </si>
  <si>
    <t>PROJETO ELEKTRIC</t>
  </si>
  <si>
    <t>Diretoria</t>
  </si>
  <si>
    <t># diretores</t>
  </si>
  <si>
    <t>(+/-) Variação Capital de Giro</t>
  </si>
  <si>
    <t>Risco país</t>
  </si>
  <si>
    <t>Kd</t>
  </si>
  <si>
    <t>Company Comp Set</t>
  </si>
  <si>
    <t>Company Name</t>
  </si>
  <si>
    <t>5 Year Beta
(Beta alavancado)</t>
  </si>
  <si>
    <t>Tax Rate
Imp. Renda (T)</t>
  </si>
  <si>
    <t>Debt/Equity % 
(D/E)</t>
  </si>
  <si>
    <t>Beta desalavancado</t>
  </si>
  <si>
    <t>Summary Statistics</t>
  </si>
  <si>
    <t>Média</t>
  </si>
  <si>
    <t>Beta 
realavancado</t>
  </si>
  <si>
    <t>CAPM (Rf + B*(Rm - Rf) + Rs + Rp</t>
  </si>
  <si>
    <t>Risk Free (T-Bond)</t>
  </si>
  <si>
    <t>Taxa livre de risco</t>
  </si>
  <si>
    <t>Equity Risk Premium (Rm - Rf) - USA</t>
  </si>
  <si>
    <t>Prêmio de risco de mercado</t>
  </si>
  <si>
    <t>BR Country Risk (Embi+)</t>
  </si>
  <si>
    <t>CAPM [Target.Co] - nominal USD</t>
  </si>
  <si>
    <t>CPI (Inflação projetada nos EUA)</t>
  </si>
  <si>
    <t>CAPM [Target.Co] - real USD</t>
  </si>
  <si>
    <t>IPCA (Inflação projetada em BRL)</t>
  </si>
  <si>
    <t>CAPM [Target.Co] - BRL nominal</t>
  </si>
  <si>
    <t>WACC [Target.Co] [(Ke x %Capital Próprio) + (Kd x % Capital de Terceiros)]</t>
  </si>
  <si>
    <t>D / (D+E)</t>
  </si>
  <si>
    <t>% capital de terceiros (debt)</t>
  </si>
  <si>
    <t>E / (D+E)</t>
  </si>
  <si>
    <t>% capital próprio (equity)</t>
  </si>
  <si>
    <t>Kd com Benefício Fiscal</t>
  </si>
  <si>
    <t>WACC YoY nominal - BRL</t>
  </si>
  <si>
    <t>SCHNEIDER ELECTRIC SE</t>
  </si>
  <si>
    <t>TOSHIBA CORP</t>
  </si>
  <si>
    <t>ITRON INC</t>
  </si>
  <si>
    <t>XYLEM INC</t>
  </si>
  <si>
    <t>ORACLE CORP</t>
  </si>
  <si>
    <t>HONEYWELL INTERNATIONAL INC</t>
  </si>
  <si>
    <t>ABB LTD-REG</t>
  </si>
  <si>
    <t>MACQUARIE INFRASTRUCTURE COR</t>
  </si>
  <si>
    <t>HERKULES SA</t>
  </si>
  <si>
    <t>ESCO TECHNOLOGIES INC</t>
  </si>
  <si>
    <t>SIEMENS AG-REG</t>
  </si>
  <si>
    <t>Company Elektric</t>
  </si>
  <si>
    <t>EMPRESA A</t>
  </si>
  <si>
    <t>Beta Elektric</t>
  </si>
  <si>
    <t>Liquidity Premium</t>
  </si>
  <si>
    <t>Risco pela falta de liquidez quando comparada a empresas de capital aberto</t>
  </si>
  <si>
    <t>Dívida Total - BRLmm</t>
  </si>
  <si>
    <t>Equity Total - BRLmm</t>
  </si>
  <si>
    <t>(+) Caixa</t>
  </si>
  <si>
    <t>(-) Dívida Bruta</t>
  </si>
  <si>
    <t>VPL - Perpetuidade - Múltiplo</t>
  </si>
  <si>
    <t>EV / EBITDA 2026</t>
  </si>
  <si>
    <t>EBITDA 2026</t>
  </si>
  <si>
    <t>Enterprise Value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</si>
</sst>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\x"/>
    <numFmt numFmtId="165" formatCode="dd/mm/yy;@"/>
    <numFmt numFmtId="166" formatCode="0.0%"/>
    <numFmt numFmtId="167" formatCode="#,##0.0"/>
    <numFmt numFmtId="168" formatCode="_(#,##0.0%_);_(\(#,##0.0%\)_);_(#,##0.0%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64"/>
      <name val="Arial"/>
      <family val="2"/>
    </font>
    <font>
      <sz val="10"/>
      <color indexed="64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indexed="64"/>
      <name val="Calibri"/>
      <family val="2"/>
      <scheme val="minor"/>
    </font>
    <font>
      <b/>
      <sz val="11"/>
      <color indexed="64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64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indexed="64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"/>
      <color indexed="9"/>
      <name val="Symbol"/>
      <family val="1"/>
      <charset val="2"/>
    </font>
    <font>
      <sz val="10"/>
      <name val="Arial"/>
      <family val="2"/>
    </font>
    <font>
      <sz val="1"/>
      <color indexed="9"/>
      <name val="Symbol"/>
      <family val="1"/>
      <charset val="2"/>
    </font>
    <font>
      <sz val="11"/>
      <color theme="9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20"/>
      <color indexed="64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ont="0" applyFill="0" applyBorder="0" applyAlignment="0" applyProtection="0">
      <alignment vertical="top"/>
      <protection locked="0"/>
    </xf>
    <xf numFmtId="0" fontId="19" fillId="0" borderId="0"/>
    <xf numFmtId="0" fontId="25" fillId="0" borderId="0"/>
    <xf numFmtId="0" fontId="26" fillId="0" borderId="0" applyAlignment="0"/>
    <xf numFmtId="43" fontId="1" fillId="0" borderId="0" applyFont="0" applyFill="0" applyBorder="0" applyAlignment="0" applyProtection="0"/>
    <xf numFmtId="0" fontId="27" fillId="0" borderId="0"/>
    <xf numFmtId="0" fontId="28" fillId="0" borderId="0" applyAlignment="0"/>
    <xf numFmtId="0" fontId="36" fillId="0" borderId="0" applyNumberFormat="0" applyFill="0" applyBorder="0" applyAlignment="0" applyProtection="0"/>
  </cellStyleXfs>
  <cellXfs count="231">
    <xf numFmtId="0" fontId="0" fillId="0" borderId="0" xfId="0"/>
    <xf numFmtId="0" fontId="6" fillId="0" borderId="0" xfId="2" applyNumberFormat="1" applyFont="1" applyFill="1" applyBorder="1" applyAlignment="1" applyProtection="1">
      <alignment vertical="top"/>
      <protection locked="0"/>
    </xf>
    <xf numFmtId="0" fontId="8" fillId="0" borderId="0" xfId="2" applyNumberFormat="1" applyFont="1" applyFill="1" applyBorder="1" applyAlignment="1" applyProtection="1">
      <alignment vertical="top"/>
      <protection locked="0"/>
    </xf>
    <xf numFmtId="3" fontId="9" fillId="0" borderId="0" xfId="2" applyNumberFormat="1" applyFont="1" applyFill="1" applyBorder="1" applyAlignment="1" applyProtection="1">
      <alignment vertical="top"/>
      <protection locked="0"/>
    </xf>
    <xf numFmtId="0" fontId="9" fillId="0" borderId="0" xfId="2" applyNumberFormat="1" applyFont="1" applyFill="1" applyBorder="1" applyAlignment="1" applyProtection="1">
      <alignment vertical="top"/>
      <protection locked="0"/>
    </xf>
    <xf numFmtId="0" fontId="4" fillId="0" borderId="0" xfId="2" applyFont="1" applyFill="1" applyBorder="1" applyAlignment="1" applyProtection="1"/>
    <xf numFmtId="0" fontId="1" fillId="0" borderId="0" xfId="2" applyFont="1" applyAlignment="1" applyProtection="1">
      <alignment horizontal="center"/>
    </xf>
    <xf numFmtId="0" fontId="4" fillId="0" borderId="1" xfId="2" applyFont="1" applyBorder="1" applyAlignment="1" applyProtection="1"/>
    <xf numFmtId="3" fontId="9" fillId="3" borderId="0" xfId="2" applyNumberFormat="1" applyFont="1" applyFill="1" applyAlignment="1" applyProtection="1">
      <alignment horizontal="center"/>
    </xf>
    <xf numFmtId="0" fontId="11" fillId="0" borderId="0" xfId="2" applyNumberFormat="1" applyFont="1" applyFill="1" applyBorder="1" applyAlignment="1" applyProtection="1">
      <alignment vertical="top"/>
      <protection locked="0"/>
    </xf>
    <xf numFmtId="0" fontId="3" fillId="0" borderId="0" xfId="2" applyNumberFormat="1" applyFont="1" applyFill="1" applyBorder="1" applyAlignment="1" applyProtection="1">
      <alignment vertical="top"/>
      <protection locked="0"/>
    </xf>
    <xf numFmtId="0" fontId="9" fillId="5" borderId="0" xfId="2" applyFont="1" applyFill="1" applyAlignment="1" applyProtection="1">
      <alignment horizontal="center"/>
    </xf>
    <xf numFmtId="0" fontId="9" fillId="5" borderId="0" xfId="2" applyFont="1" applyFill="1" applyAlignment="1" applyProtection="1"/>
    <xf numFmtId="0" fontId="2" fillId="5" borderId="0" xfId="2" applyFont="1" applyFill="1" applyAlignment="1" applyProtection="1"/>
    <xf numFmtId="0" fontId="9" fillId="0" borderId="0" xfId="2" applyFont="1" applyFill="1" applyAlignment="1" applyProtection="1">
      <alignment horizontal="left" indent="1"/>
    </xf>
    <xf numFmtId="0" fontId="9" fillId="0" borderId="0" xfId="2" applyFont="1" applyAlignment="1" applyProtection="1">
      <alignment horizontal="left" indent="1"/>
    </xf>
    <xf numFmtId="0" fontId="4" fillId="0" borderId="1" xfId="2" applyFont="1" applyBorder="1" applyAlignment="1" applyProtection="1">
      <alignment horizontal="center"/>
    </xf>
    <xf numFmtId="0" fontId="9" fillId="0" borderId="0" xfId="2" applyFont="1" applyAlignment="1" applyProtection="1">
      <alignment horizontal="center"/>
    </xf>
    <xf numFmtId="0" fontId="10" fillId="0" borderId="0" xfId="2" applyNumberFormat="1" applyFont="1" applyFill="1" applyBorder="1" applyAlignment="1" applyProtection="1">
      <alignment vertical="top"/>
      <protection locked="0"/>
    </xf>
    <xf numFmtId="0" fontId="9" fillId="0" borderId="0" xfId="2" applyFont="1" applyAlignment="1" applyProtection="1">
      <alignment horizontal="left" indent="2"/>
    </xf>
    <xf numFmtId="0" fontId="12" fillId="0" borderId="0" xfId="2" applyNumberFormat="1" applyFont="1" applyFill="1" applyBorder="1" applyAlignment="1" applyProtection="1">
      <alignment vertical="top"/>
      <protection locked="0"/>
    </xf>
    <xf numFmtId="0" fontId="4" fillId="0" borderId="0" xfId="2" applyFont="1" applyAlignment="1" applyProtection="1">
      <alignment horizontal="center"/>
    </xf>
    <xf numFmtId="0" fontId="10" fillId="0" borderId="0" xfId="2" applyFont="1" applyAlignment="1" applyProtection="1">
      <alignment horizontal="left" indent="1"/>
    </xf>
    <xf numFmtId="3" fontId="10" fillId="0" borderId="0" xfId="2" applyNumberFormat="1" applyFont="1" applyFill="1" applyBorder="1" applyAlignment="1" applyProtection="1">
      <alignment vertical="top"/>
      <protection locked="0"/>
    </xf>
    <xf numFmtId="0" fontId="10" fillId="0" borderId="0" xfId="2" applyNumberFormat="1" applyFont="1" applyFill="1" applyBorder="1" applyAlignment="1" applyProtection="1">
      <alignment horizontal="center" vertical="center"/>
      <protection locked="0"/>
    </xf>
    <xf numFmtId="0" fontId="10" fillId="0" borderId="0" xfId="2" applyNumberFormat="1" applyFont="1" applyFill="1" applyBorder="1" applyAlignment="1" applyProtection="1">
      <alignment horizontal="left" vertical="top" indent="1"/>
      <protection locked="0"/>
    </xf>
    <xf numFmtId="3" fontId="9" fillId="0" borderId="0" xfId="2" applyNumberFormat="1" applyFont="1" applyFill="1" applyAlignment="1" applyProtection="1">
      <alignment horizontal="center"/>
    </xf>
    <xf numFmtId="0" fontId="9" fillId="0" borderId="0" xfId="2" applyFont="1" applyAlignment="1" applyProtection="1"/>
    <xf numFmtId="0" fontId="9" fillId="0" borderId="0" xfId="2" applyFont="1" applyAlignment="1" applyProtection="1">
      <alignment horizontal="left" indent="3"/>
    </xf>
    <xf numFmtId="0" fontId="9" fillId="0" borderId="0" xfId="2" applyFont="1" applyFill="1" applyAlignment="1" applyProtection="1">
      <alignment horizontal="left" indent="2"/>
    </xf>
    <xf numFmtId="167" fontId="9" fillId="0" borderId="0" xfId="2" applyNumberFormat="1" applyFont="1" applyFill="1" applyAlignment="1" applyProtection="1">
      <alignment horizontal="center"/>
    </xf>
    <xf numFmtId="3" fontId="4" fillId="0" borderId="0" xfId="2" applyNumberFormat="1" applyFont="1" applyFill="1" applyAlignment="1" applyProtection="1">
      <alignment horizontal="right"/>
    </xf>
    <xf numFmtId="0" fontId="4" fillId="0" borderId="0" xfId="2" applyFont="1" applyFill="1" applyAlignment="1" applyProtection="1"/>
    <xf numFmtId="0" fontId="9" fillId="0" borderId="0" xfId="2" applyFont="1" applyFill="1" applyAlignment="1" applyProtection="1">
      <alignment horizontal="center"/>
    </xf>
    <xf numFmtId="3" fontId="9" fillId="2" borderId="0" xfId="2" applyNumberFormat="1" applyFont="1" applyFill="1" applyAlignment="1" applyProtection="1">
      <alignment horizontal="center"/>
    </xf>
    <xf numFmtId="0" fontId="4" fillId="0" borderId="1" xfId="2" applyFont="1" applyFill="1" applyBorder="1" applyAlignment="1" applyProtection="1"/>
    <xf numFmtId="0" fontId="15" fillId="0" borderId="0" xfId="2" applyNumberFormat="1" applyFont="1" applyFill="1" applyBorder="1" applyAlignment="1" applyProtection="1">
      <alignment vertical="top"/>
      <protection locked="0"/>
    </xf>
    <xf numFmtId="0" fontId="17" fillId="0" borderId="0" xfId="2" applyNumberFormat="1" applyFont="1" applyFill="1" applyBorder="1" applyAlignment="1" applyProtection="1">
      <alignment vertical="top"/>
      <protection locked="0"/>
    </xf>
    <xf numFmtId="0" fontId="18" fillId="0" borderId="0" xfId="2" applyFont="1" applyAlignment="1" applyProtection="1">
      <alignment horizontal="center" vertical="center"/>
    </xf>
    <xf numFmtId="0" fontId="18" fillId="0" borderId="0" xfId="2" applyFont="1" applyAlignment="1" applyProtection="1">
      <alignment horizontal="left" indent="1"/>
    </xf>
    <xf numFmtId="0" fontId="3" fillId="0" borderId="0" xfId="2" applyFont="1" applyAlignment="1" applyProtection="1"/>
    <xf numFmtId="0" fontId="9" fillId="0" borderId="0" xfId="2" applyNumberFormat="1" applyFont="1" applyFill="1" applyBorder="1" applyAlignment="1" applyProtection="1">
      <alignment horizontal="left" vertical="top" indent="1"/>
      <protection locked="0"/>
    </xf>
    <xf numFmtId="0" fontId="9" fillId="0" borderId="0" xfId="2" applyNumberFormat="1" applyFont="1" applyFill="1" applyBorder="1" applyAlignment="1" applyProtection="1">
      <alignment horizontal="center" vertical="top"/>
      <protection locked="0"/>
    </xf>
    <xf numFmtId="0" fontId="10" fillId="0" borderId="1" xfId="2" applyNumberFormat="1" applyFont="1" applyFill="1" applyBorder="1" applyAlignment="1" applyProtection="1">
      <alignment horizontal="center" vertical="top"/>
      <protection locked="0"/>
    </xf>
    <xf numFmtId="4" fontId="9" fillId="0" borderId="0" xfId="2" applyNumberFormat="1" applyFont="1" applyFill="1" applyBorder="1" applyAlignment="1" applyProtection="1">
      <alignment vertical="top"/>
      <protection locked="0"/>
    </xf>
    <xf numFmtId="4" fontId="9" fillId="0" borderId="1" xfId="2" applyNumberFormat="1" applyFont="1" applyFill="1" applyBorder="1" applyAlignment="1" applyProtection="1">
      <alignment vertical="top"/>
      <protection locked="0"/>
    </xf>
    <xf numFmtId="0" fontId="9" fillId="0" borderId="1" xfId="2" applyNumberFormat="1" applyFont="1" applyFill="1" applyBorder="1" applyAlignment="1" applyProtection="1">
      <alignment vertical="top"/>
      <protection locked="0"/>
    </xf>
    <xf numFmtId="0" fontId="4" fillId="0" borderId="0" xfId="2" applyFont="1" applyAlignment="1" applyProtection="1">
      <alignment horizontal="left" indent="1"/>
    </xf>
    <xf numFmtId="3" fontId="9" fillId="0" borderId="0" xfId="2" applyNumberFormat="1" applyFont="1" applyFill="1" applyAlignment="1" applyProtection="1">
      <alignment horizontal="right"/>
    </xf>
    <xf numFmtId="0" fontId="4" fillId="0" borderId="0" xfId="2" applyFont="1" applyAlignment="1" applyProtection="1"/>
    <xf numFmtId="0" fontId="20" fillId="0" borderId="1" xfId="3" applyFont="1" applyBorder="1" applyAlignment="1">
      <alignment horizontal="left" indent="1"/>
    </xf>
    <xf numFmtId="0" fontId="18" fillId="0" borderId="0" xfId="2" applyFont="1" applyAlignment="1" applyProtection="1">
      <alignment horizontal="center"/>
    </xf>
    <xf numFmtId="0" fontId="4" fillId="0" borderId="4" xfId="2" applyFont="1" applyBorder="1" applyAlignment="1" applyProtection="1">
      <alignment horizontal="center"/>
    </xf>
    <xf numFmtId="0" fontId="4" fillId="0" borderId="4" xfId="2" applyFont="1" applyBorder="1" applyAlignment="1" applyProtection="1"/>
    <xf numFmtId="0" fontId="20" fillId="0" borderId="0" xfId="3" applyFont="1" applyAlignment="1">
      <alignment horizontal="left" indent="1"/>
    </xf>
    <xf numFmtId="0" fontId="12" fillId="0" borderId="0" xfId="2" applyFont="1" applyAlignment="1" applyProtection="1"/>
    <xf numFmtId="9" fontId="18" fillId="0" borderId="0" xfId="2" applyNumberFormat="1" applyFont="1" applyAlignment="1" applyProtection="1">
      <alignment horizontal="center"/>
    </xf>
    <xf numFmtId="9" fontId="18" fillId="0" borderId="0" xfId="2" applyNumberFormat="1" applyFont="1" applyAlignment="1" applyProtection="1">
      <alignment horizontal="left" indent="1"/>
    </xf>
    <xf numFmtId="0" fontId="18" fillId="0" borderId="0" xfId="2" applyFont="1" applyAlignment="1" applyProtection="1">
      <alignment horizontal="left" indent="2"/>
    </xf>
    <xf numFmtId="0" fontId="3" fillId="0" borderId="0" xfId="2" applyFont="1" applyFill="1" applyAlignment="1" applyProtection="1"/>
    <xf numFmtId="0" fontId="10" fillId="0" borderId="0" xfId="2" applyFont="1" applyAlignment="1" applyProtection="1">
      <alignment horizontal="center"/>
    </xf>
    <xf numFmtId="0" fontId="10" fillId="0" borderId="0" xfId="2" applyFont="1" applyFill="1" applyAlignment="1" applyProtection="1">
      <alignment horizontal="left" indent="2"/>
    </xf>
    <xf numFmtId="0" fontId="1" fillId="0" borderId="0" xfId="2" applyFont="1" applyAlignment="1" applyProtection="1">
      <alignment horizontal="left" indent="1"/>
    </xf>
    <xf numFmtId="0" fontId="3" fillId="0" borderId="0" xfId="2" applyFont="1" applyAlignment="1" applyProtection="1">
      <alignment horizontal="left" indent="1"/>
    </xf>
    <xf numFmtId="0" fontId="2" fillId="5" borderId="0" xfId="2" applyFont="1" applyFill="1" applyAlignment="1" applyProtection="1">
      <alignment horizontal="right"/>
    </xf>
    <xf numFmtId="0" fontId="21" fillId="0" borderId="0" xfId="2" applyFont="1" applyAlignment="1" applyProtection="1">
      <alignment horizontal="center"/>
    </xf>
    <xf numFmtId="0" fontId="22" fillId="0" borderId="0" xfId="2" applyNumberFormat="1" applyFont="1" applyFill="1" applyBorder="1" applyAlignment="1" applyProtection="1">
      <alignment horizontal="left" vertical="center" indent="16"/>
      <protection locked="0"/>
    </xf>
    <xf numFmtId="0" fontId="23" fillId="0" borderId="2" xfId="2" applyNumberFormat="1" applyFont="1" applyFill="1" applyBorder="1" applyAlignment="1" applyProtection="1">
      <alignment horizontal="right"/>
    </xf>
    <xf numFmtId="3" fontId="4" fillId="0" borderId="1" xfId="2" applyNumberFormat="1" applyFont="1" applyFill="1" applyBorder="1" applyAlignment="1" applyProtection="1">
      <alignment horizontal="right"/>
    </xf>
    <xf numFmtId="4" fontId="4" fillId="0" borderId="0" xfId="2" applyNumberFormat="1" applyFont="1" applyFill="1" applyAlignment="1" applyProtection="1">
      <alignment horizontal="right"/>
    </xf>
    <xf numFmtId="4" fontId="11" fillId="0" borderId="0" xfId="2" applyNumberFormat="1" applyFont="1" applyFill="1" applyAlignment="1" applyProtection="1"/>
    <xf numFmtId="4" fontId="9" fillId="0" borderId="0" xfId="2" applyNumberFormat="1" applyFont="1" applyFill="1" applyAlignment="1" applyProtection="1">
      <alignment horizontal="right"/>
    </xf>
    <xf numFmtId="4" fontId="11" fillId="0" borderId="0" xfId="2" applyNumberFormat="1" applyFont="1" applyFill="1" applyAlignment="1" applyProtection="1">
      <alignment horizontal="right"/>
    </xf>
    <xf numFmtId="4" fontId="14" fillId="0" borderId="0" xfId="2" applyNumberFormat="1" applyFont="1" applyFill="1" applyAlignment="1" applyProtection="1">
      <alignment horizontal="right"/>
    </xf>
    <xf numFmtId="4" fontId="11" fillId="0" borderId="0" xfId="2" applyNumberFormat="1" applyFont="1" applyFill="1" applyBorder="1" applyAlignment="1" applyProtection="1">
      <alignment vertical="top"/>
      <protection locked="0"/>
    </xf>
    <xf numFmtId="4" fontId="18" fillId="0" borderId="0" xfId="2" applyNumberFormat="1" applyFont="1" applyFill="1" applyAlignment="1" applyProtection="1"/>
    <xf numFmtId="4" fontId="14" fillId="0" borderId="0" xfId="2" applyNumberFormat="1" applyFont="1" applyFill="1" applyBorder="1" applyAlignment="1" applyProtection="1">
      <alignment vertical="top"/>
      <protection locked="0"/>
    </xf>
    <xf numFmtId="4" fontId="10" fillId="0" borderId="0" xfId="2" applyNumberFormat="1" applyFont="1" applyFill="1" applyBorder="1" applyAlignment="1" applyProtection="1">
      <alignment vertical="top"/>
      <protection locked="0"/>
    </xf>
    <xf numFmtId="4" fontId="2" fillId="0" borderId="2" xfId="2" applyNumberFormat="1" applyFont="1" applyFill="1" applyBorder="1" applyAlignment="1" applyProtection="1">
      <alignment horizontal="right"/>
    </xf>
    <xf numFmtId="0" fontId="4" fillId="0" borderId="0" xfId="2" applyFont="1" applyBorder="1" applyAlignment="1" applyProtection="1">
      <alignment horizontal="left" indent="1"/>
    </xf>
    <xf numFmtId="4" fontId="14" fillId="0" borderId="4" xfId="2" applyNumberFormat="1" applyFont="1" applyFill="1" applyBorder="1" applyAlignment="1" applyProtection="1"/>
    <xf numFmtId="4" fontId="14" fillId="0" borderId="0" xfId="2" applyNumberFormat="1" applyFont="1" applyFill="1" applyBorder="1" applyAlignment="1" applyProtection="1"/>
    <xf numFmtId="4" fontId="16" fillId="0" borderId="0" xfId="2" applyNumberFormat="1" applyFont="1" applyFill="1" applyAlignment="1" applyProtection="1"/>
    <xf numFmtId="4" fontId="14" fillId="0" borderId="4" xfId="2" applyNumberFormat="1" applyFont="1" applyFill="1" applyBorder="1" applyAlignment="1" applyProtection="1">
      <alignment horizontal="right"/>
    </xf>
    <xf numFmtId="10" fontId="18" fillId="0" borderId="0" xfId="1" applyNumberFormat="1" applyFont="1" applyAlignment="1" applyProtection="1">
      <alignment horizontal="left" indent="1"/>
    </xf>
    <xf numFmtId="10" fontId="18" fillId="0" borderId="0" xfId="1" applyNumberFormat="1" applyFont="1" applyAlignment="1" applyProtection="1">
      <alignment horizontal="center"/>
    </xf>
    <xf numFmtId="10" fontId="18" fillId="0" borderId="0" xfId="1" applyNumberFormat="1" applyFont="1" applyFill="1" applyAlignment="1" applyProtection="1"/>
    <xf numFmtId="39" fontId="11" fillId="0" borderId="0" xfId="2" applyNumberFormat="1" applyFont="1" applyFill="1" applyAlignment="1" applyProtection="1"/>
    <xf numFmtId="39" fontId="14" fillId="0" borderId="1" xfId="2" applyNumberFormat="1" applyFont="1" applyFill="1" applyBorder="1" applyAlignment="1" applyProtection="1"/>
    <xf numFmtId="39" fontId="14" fillId="0" borderId="1" xfId="2" applyNumberFormat="1" applyFont="1" applyFill="1" applyBorder="1" applyAlignment="1" applyProtection="1">
      <alignment horizontal="right"/>
    </xf>
    <xf numFmtId="39" fontId="14" fillId="0" borderId="0" xfId="2" applyNumberFormat="1" applyFont="1" applyFill="1" applyAlignment="1" applyProtection="1"/>
    <xf numFmtId="4" fontId="10" fillId="0" borderId="0" xfId="2" applyNumberFormat="1" applyFont="1" applyBorder="1" applyAlignment="1" applyProtection="1">
      <alignment horizontal="left" indent="2"/>
    </xf>
    <xf numFmtId="10" fontId="18" fillId="0" borderId="0" xfId="2" applyNumberFormat="1" applyFont="1" applyAlignment="1" applyProtection="1">
      <alignment horizontal="center"/>
    </xf>
    <xf numFmtId="10" fontId="15" fillId="0" borderId="0" xfId="2" applyNumberFormat="1" applyFont="1" applyFill="1" applyBorder="1" applyAlignment="1" applyProtection="1">
      <alignment vertical="top"/>
      <protection locked="0"/>
    </xf>
    <xf numFmtId="37" fontId="13" fillId="0" borderId="0" xfId="2" applyNumberFormat="1" applyFont="1" applyFill="1" applyAlignment="1" applyProtection="1"/>
    <xf numFmtId="37" fontId="14" fillId="0" borderId="0" xfId="2" applyNumberFormat="1" applyFont="1" applyFill="1" applyAlignment="1" applyProtection="1">
      <alignment horizontal="right"/>
    </xf>
    <xf numFmtId="37" fontId="4" fillId="0" borderId="0" xfId="2" applyNumberFormat="1" applyFont="1" applyFill="1" applyAlignment="1" applyProtection="1">
      <alignment horizontal="right"/>
    </xf>
    <xf numFmtId="37" fontId="4" fillId="0" borderId="1" xfId="2" applyNumberFormat="1" applyFont="1" applyFill="1" applyBorder="1" applyAlignment="1" applyProtection="1">
      <alignment horizontal="right"/>
    </xf>
    <xf numFmtId="37" fontId="9" fillId="0" borderId="0" xfId="2" applyNumberFormat="1" applyFont="1" applyFill="1" applyAlignment="1" applyProtection="1">
      <alignment horizontal="right"/>
    </xf>
    <xf numFmtId="37" fontId="24" fillId="0" borderId="0" xfId="2" applyNumberFormat="1" applyFont="1" applyFill="1" applyAlignment="1" applyProtection="1"/>
    <xf numFmtId="37" fontId="14" fillId="0" borderId="4" xfId="2" applyNumberFormat="1" applyFont="1" applyFill="1" applyBorder="1" applyAlignment="1" applyProtection="1">
      <alignment horizontal="right"/>
    </xf>
    <xf numFmtId="37" fontId="14" fillId="0" borderId="1" xfId="2" applyNumberFormat="1" applyFont="1" applyFill="1" applyBorder="1" applyAlignment="1" applyProtection="1"/>
    <xf numFmtId="37" fontId="14" fillId="0" borderId="1" xfId="2" applyNumberFormat="1" applyFont="1" applyFill="1" applyBorder="1" applyAlignment="1" applyProtection="1">
      <alignment horizontal="right"/>
    </xf>
    <xf numFmtId="37" fontId="14" fillId="0" borderId="4" xfId="2" applyNumberFormat="1" applyFont="1" applyFill="1" applyBorder="1" applyAlignment="1" applyProtection="1"/>
    <xf numFmtId="37" fontId="10" fillId="0" borderId="1" xfId="2" applyNumberFormat="1" applyFont="1" applyFill="1" applyBorder="1" applyAlignment="1" applyProtection="1">
      <alignment vertical="top"/>
      <protection locked="0"/>
    </xf>
    <xf numFmtId="37" fontId="9" fillId="0" borderId="0" xfId="2" applyNumberFormat="1" applyFont="1" applyFill="1" applyBorder="1" applyAlignment="1" applyProtection="1">
      <alignment vertical="top"/>
      <protection locked="0"/>
    </xf>
    <xf numFmtId="10" fontId="16" fillId="0" borderId="0" xfId="1" applyNumberFormat="1" applyFont="1" applyFill="1" applyAlignment="1" applyProtection="1"/>
    <xf numFmtId="37" fontId="11" fillId="0" borderId="0" xfId="2" applyNumberFormat="1" applyFont="1" applyFill="1" applyAlignment="1" applyProtection="1"/>
    <xf numFmtId="37" fontId="14" fillId="0" borderId="0" xfId="2" applyNumberFormat="1" applyFont="1" applyFill="1" applyAlignment="1" applyProtection="1"/>
    <xf numFmtId="10" fontId="16" fillId="0" borderId="0" xfId="2" applyNumberFormat="1" applyFont="1" applyFill="1" applyBorder="1" applyAlignment="1" applyProtection="1">
      <alignment vertical="top"/>
      <protection locked="0"/>
    </xf>
    <xf numFmtId="37" fontId="11" fillId="0" borderId="0" xfId="2" applyNumberFormat="1" applyFont="1" applyFill="1" applyBorder="1" applyAlignment="1" applyProtection="1">
      <alignment vertical="top"/>
      <protection locked="0"/>
    </xf>
    <xf numFmtId="37" fontId="11" fillId="0" borderId="0" xfId="2" applyNumberFormat="1" applyFont="1" applyFill="1" applyAlignment="1" applyProtection="1">
      <alignment horizontal="right"/>
    </xf>
    <xf numFmtId="0" fontId="7" fillId="0" borderId="0" xfId="2" applyNumberFormat="1" applyFont="1" applyFill="1" applyBorder="1" applyAlignment="1" applyProtection="1">
      <alignment vertical="top"/>
      <protection locked="0"/>
    </xf>
    <xf numFmtId="10" fontId="16" fillId="2" borderId="0" xfId="1" applyNumberFormat="1" applyFont="1" applyFill="1" applyAlignment="1" applyProtection="1"/>
    <xf numFmtId="3" fontId="11" fillId="2" borderId="0" xfId="2" applyNumberFormat="1" applyFont="1" applyFill="1" applyBorder="1" applyAlignment="1" applyProtection="1">
      <alignment vertical="top"/>
      <protection locked="0"/>
    </xf>
    <xf numFmtId="9" fontId="10" fillId="2" borderId="0" xfId="2" applyNumberFormat="1" applyFont="1" applyFill="1" applyAlignment="1" applyProtection="1">
      <alignment horizontal="center"/>
    </xf>
    <xf numFmtId="9" fontId="10" fillId="3" borderId="0" xfId="2" applyNumberFormat="1" applyFont="1" applyFill="1" applyAlignment="1" applyProtection="1">
      <alignment horizontal="center"/>
    </xf>
    <xf numFmtId="3" fontId="14" fillId="0" borderId="0" xfId="2" applyNumberFormat="1" applyFont="1" applyFill="1" applyBorder="1" applyAlignment="1" applyProtection="1"/>
    <xf numFmtId="4" fontId="11" fillId="2" borderId="0" xfId="2" applyNumberFormat="1" applyFont="1" applyFill="1" applyBorder="1" applyAlignment="1" applyProtection="1">
      <alignment vertical="top"/>
      <protection locked="0"/>
    </xf>
    <xf numFmtId="0" fontId="2" fillId="8" borderId="0" xfId="2" applyFont="1" applyFill="1" applyAlignment="1" applyProtection="1">
      <alignment horizontal="right"/>
    </xf>
    <xf numFmtId="37" fontId="24" fillId="0" borderId="4" xfId="2" applyNumberFormat="1" applyFont="1" applyFill="1" applyBorder="1" applyAlignment="1" applyProtection="1"/>
    <xf numFmtId="4" fontId="18" fillId="0" borderId="0" xfId="1" applyNumberFormat="1" applyFont="1" applyFill="1" applyAlignment="1" applyProtection="1"/>
    <xf numFmtId="0" fontId="10" fillId="0" borderId="0" xfId="2" applyNumberFormat="1" applyFont="1" applyFill="1" applyBorder="1" applyAlignment="1" applyProtection="1">
      <alignment horizontal="left" vertical="center" indent="16"/>
      <protection locked="0"/>
    </xf>
    <xf numFmtId="10" fontId="3" fillId="0" borderId="0" xfId="1" applyNumberFormat="1" applyFont="1" applyFill="1" applyBorder="1" applyAlignment="1" applyProtection="1">
      <alignment vertical="top"/>
      <protection locked="0"/>
    </xf>
    <xf numFmtId="10" fontId="3" fillId="0" borderId="0" xfId="1" applyNumberFormat="1" applyFont="1" applyAlignment="1" applyProtection="1"/>
    <xf numFmtId="10" fontId="9" fillId="0" borderId="0" xfId="1" applyNumberFormat="1" applyFont="1" applyFill="1" applyBorder="1" applyAlignment="1" applyProtection="1">
      <alignment vertical="top"/>
      <protection locked="0"/>
    </xf>
    <xf numFmtId="0" fontId="3" fillId="0" borderId="0" xfId="2" applyFont="1" applyBorder="1" applyAlignment="1" applyProtection="1"/>
    <xf numFmtId="0" fontId="10" fillId="0" borderId="0" xfId="2" applyFont="1" applyBorder="1" applyAlignment="1" applyProtection="1">
      <alignment horizontal="center"/>
    </xf>
    <xf numFmtId="0" fontId="9" fillId="6" borderId="0" xfId="2" applyNumberFormat="1" applyFont="1" applyFill="1" applyBorder="1" applyAlignment="1" applyProtection="1">
      <alignment vertical="top"/>
      <protection locked="0"/>
    </xf>
    <xf numFmtId="4" fontId="9" fillId="0" borderId="0" xfId="2" applyNumberFormat="1" applyFont="1" applyBorder="1" applyAlignment="1" applyProtection="1">
      <alignment horizontal="left" indent="2"/>
    </xf>
    <xf numFmtId="0" fontId="9" fillId="0" borderId="0" xfId="2" applyFont="1" applyBorder="1" applyAlignment="1" applyProtection="1">
      <alignment horizontal="center"/>
    </xf>
    <xf numFmtId="10" fontId="9" fillId="0" borderId="0" xfId="2" applyNumberFormat="1" applyFont="1" applyFill="1" applyBorder="1" applyAlignment="1" applyProtection="1">
      <alignment vertical="top"/>
      <protection locked="0"/>
    </xf>
    <xf numFmtId="0" fontId="11" fillId="0" borderId="0" xfId="2" applyFont="1" applyAlignment="1" applyProtection="1">
      <alignment horizontal="left" indent="1"/>
    </xf>
    <xf numFmtId="0" fontId="11" fillId="0" borderId="0" xfId="2" applyFont="1" applyAlignment="1" applyProtection="1">
      <alignment horizontal="center"/>
    </xf>
    <xf numFmtId="166" fontId="9" fillId="0" borderId="0" xfId="2" applyNumberFormat="1" applyFont="1" applyFill="1" applyBorder="1" applyAlignment="1" applyProtection="1">
      <alignment vertical="top"/>
      <protection locked="0"/>
    </xf>
    <xf numFmtId="0" fontId="11" fillId="0" borderId="0" xfId="2" applyFont="1" applyAlignment="1" applyProtection="1"/>
    <xf numFmtId="166" fontId="1" fillId="4" borderId="0" xfId="2" applyNumberFormat="1" applyFont="1" applyFill="1" applyAlignment="1" applyProtection="1">
      <alignment horizontal="center"/>
    </xf>
    <xf numFmtId="165" fontId="1" fillId="4" borderId="0" xfId="2" applyNumberFormat="1" applyFont="1" applyFill="1" applyAlignment="1" applyProtection="1">
      <alignment horizontal="center"/>
    </xf>
    <xf numFmtId="37" fontId="29" fillId="0" borderId="0" xfId="1" applyNumberFormat="1" applyFont="1" applyFill="1" applyAlignment="1" applyProtection="1"/>
    <xf numFmtId="10" fontId="30" fillId="0" borderId="0" xfId="1" applyNumberFormat="1" applyFont="1" applyFill="1" applyAlignment="1" applyProtection="1"/>
    <xf numFmtId="37" fontId="24" fillId="0" borderId="0" xfId="1" applyNumberFormat="1" applyFont="1" applyFill="1" applyAlignment="1" applyProtection="1"/>
    <xf numFmtId="37" fontId="14" fillId="0" borderId="0" xfId="2" applyNumberFormat="1" applyFont="1" applyFill="1" applyBorder="1" applyAlignment="1" applyProtection="1">
      <alignment vertical="top"/>
      <protection locked="0"/>
    </xf>
    <xf numFmtId="37" fontId="31" fillId="0" borderId="0" xfId="2" applyNumberFormat="1" applyFont="1" applyFill="1" applyBorder="1" applyAlignment="1" applyProtection="1">
      <alignment vertical="top"/>
      <protection locked="0"/>
    </xf>
    <xf numFmtId="37" fontId="10" fillId="0" borderId="0" xfId="2" applyNumberFormat="1" applyFont="1" applyFill="1" applyBorder="1" applyAlignment="1" applyProtection="1">
      <alignment vertical="top"/>
      <protection locked="0"/>
    </xf>
    <xf numFmtId="4" fontId="9" fillId="0" borderId="0" xfId="2" applyNumberFormat="1" applyFont="1" applyFill="1" applyBorder="1" applyAlignment="1" applyProtection="1">
      <alignment horizontal="left" indent="3"/>
    </xf>
    <xf numFmtId="4" fontId="15" fillId="0" borderId="0" xfId="2" applyNumberFormat="1" applyFont="1" applyFill="1" applyBorder="1" applyAlignment="1" applyProtection="1">
      <alignment horizontal="left" indent="3"/>
    </xf>
    <xf numFmtId="0" fontId="17" fillId="0" borderId="0" xfId="2" applyFont="1" applyAlignment="1" applyProtection="1"/>
    <xf numFmtId="0" fontId="15" fillId="0" borderId="0" xfId="2" applyFont="1" applyAlignment="1" applyProtection="1">
      <alignment horizontal="center"/>
    </xf>
    <xf numFmtId="3" fontId="15" fillId="0" borderId="0" xfId="2" applyNumberFormat="1" applyFont="1" applyFill="1" applyBorder="1" applyAlignment="1" applyProtection="1">
      <alignment vertical="top"/>
      <protection locked="0"/>
    </xf>
    <xf numFmtId="4" fontId="10" fillId="0" borderId="0" xfId="2" applyNumberFormat="1" applyFont="1" applyFill="1" applyBorder="1" applyAlignment="1" applyProtection="1">
      <alignment horizontal="left" indent="2"/>
    </xf>
    <xf numFmtId="39" fontId="9" fillId="0" borderId="0" xfId="2" applyNumberFormat="1" applyFont="1" applyFill="1" applyBorder="1" applyAlignment="1" applyProtection="1">
      <alignment vertical="top"/>
      <protection locked="0"/>
    </xf>
    <xf numFmtId="4" fontId="9" fillId="0" borderId="0" xfId="2" applyNumberFormat="1" applyFont="1" applyFill="1" applyBorder="1" applyAlignment="1" applyProtection="1">
      <alignment horizontal="left" indent="2"/>
    </xf>
    <xf numFmtId="37" fontId="11" fillId="2" borderId="0" xfId="1" applyNumberFormat="1" applyFont="1" applyFill="1" applyAlignment="1" applyProtection="1"/>
    <xf numFmtId="37" fontId="11" fillId="2" borderId="0" xfId="2" applyNumberFormat="1" applyFont="1" applyFill="1" applyAlignment="1" applyProtection="1"/>
    <xf numFmtId="3" fontId="29" fillId="0" borderId="0" xfId="2" applyNumberFormat="1" applyFont="1" applyFill="1" applyBorder="1" applyAlignment="1" applyProtection="1">
      <alignment vertical="top"/>
      <protection locked="0"/>
    </xf>
    <xf numFmtId="0" fontId="9" fillId="0" borderId="0" xfId="2" applyNumberFormat="1" applyFont="1" applyFill="1" applyBorder="1" applyAlignment="1" applyProtection="1">
      <alignment horizontal="left" vertical="top" indent="2"/>
      <protection locked="0"/>
    </xf>
    <xf numFmtId="9" fontId="9" fillId="0" borderId="0" xfId="2" applyNumberFormat="1" applyFont="1" applyFill="1" applyAlignment="1" applyProtection="1">
      <alignment horizontal="right"/>
    </xf>
    <xf numFmtId="0" fontId="4" fillId="0" borderId="1" xfId="2" applyFont="1" applyFill="1" applyBorder="1" applyAlignment="1" applyProtection="1">
      <alignment horizontal="center"/>
    </xf>
    <xf numFmtId="0" fontId="10" fillId="0" borderId="0" xfId="2" applyFont="1" applyFill="1" applyAlignment="1" applyProtection="1">
      <alignment horizontal="left" indent="1"/>
    </xf>
    <xf numFmtId="0" fontId="4" fillId="0" borderId="0" xfId="2" applyFont="1" applyFill="1" applyAlignment="1" applyProtection="1">
      <alignment horizontal="center"/>
    </xf>
    <xf numFmtId="37" fontId="10" fillId="0" borderId="0" xfId="2" applyNumberFormat="1" applyFont="1" applyFill="1" applyAlignment="1" applyProtection="1"/>
    <xf numFmtId="37" fontId="10" fillId="2" borderId="0" xfId="2" applyNumberFormat="1" applyFont="1" applyFill="1" applyBorder="1" applyAlignment="1" applyProtection="1">
      <alignment vertical="top"/>
      <protection locked="0"/>
    </xf>
    <xf numFmtId="37" fontId="10" fillId="0" borderId="0" xfId="2" applyNumberFormat="1" applyFont="1" applyFill="1" applyAlignment="1" applyProtection="1">
      <alignment horizontal="right"/>
    </xf>
    <xf numFmtId="3" fontId="10" fillId="0" borderId="0" xfId="2" applyNumberFormat="1" applyFont="1" applyFill="1" applyBorder="1" applyAlignment="1" applyProtection="1">
      <alignment horizontal="right" vertical="top"/>
      <protection locked="0"/>
    </xf>
    <xf numFmtId="9" fontId="10" fillId="0" borderId="0" xfId="2" applyNumberFormat="1" applyFont="1" applyFill="1" applyAlignment="1" applyProtection="1"/>
    <xf numFmtId="0" fontId="4" fillId="0" borderId="3" xfId="2" applyFont="1" applyFill="1" applyBorder="1" applyAlignment="1" applyProtection="1">
      <alignment horizontal="left" indent="1"/>
    </xf>
    <xf numFmtId="0" fontId="4" fillId="0" borderId="3" xfId="2" applyFont="1" applyBorder="1" applyAlignment="1" applyProtection="1">
      <alignment horizontal="center"/>
    </xf>
    <xf numFmtId="37" fontId="10" fillId="0" borderId="3" xfId="2" applyNumberFormat="1" applyFont="1" applyFill="1" applyBorder="1" applyAlignment="1" applyProtection="1"/>
    <xf numFmtId="37" fontId="31" fillId="0" borderId="3" xfId="2" applyNumberFormat="1" applyFont="1" applyFill="1" applyBorder="1" applyAlignment="1" applyProtection="1"/>
    <xf numFmtId="37" fontId="10" fillId="0" borderId="3" xfId="0" applyNumberFormat="1" applyFont="1" applyBorder="1"/>
    <xf numFmtId="0" fontId="4" fillId="0" borderId="1" xfId="2" applyFont="1" applyFill="1" applyBorder="1" applyAlignment="1" applyProtection="1">
      <alignment horizontal="left" indent="1"/>
    </xf>
    <xf numFmtId="37" fontId="31" fillId="0" borderId="1" xfId="2" applyNumberFormat="1" applyFont="1" applyFill="1" applyBorder="1" applyAlignment="1" applyProtection="1">
      <alignment horizontal="right"/>
    </xf>
    <xf numFmtId="37" fontId="10" fillId="0" borderId="1" xfId="0" applyNumberFormat="1" applyFont="1" applyBorder="1"/>
    <xf numFmtId="9" fontId="9" fillId="0" borderId="0" xfId="2" applyNumberFormat="1" applyFont="1" applyFill="1" applyBorder="1" applyAlignment="1" applyProtection="1">
      <alignment vertical="top"/>
      <protection locked="0"/>
    </xf>
    <xf numFmtId="10" fontId="11" fillId="0" borderId="0" xfId="2" applyNumberFormat="1" applyFont="1" applyFill="1" applyBorder="1" applyAlignment="1" applyProtection="1">
      <alignment vertical="top"/>
      <protection locked="0"/>
    </xf>
    <xf numFmtId="0" fontId="10" fillId="0" borderId="3" xfId="2" applyNumberFormat="1" applyFont="1" applyFill="1" applyBorder="1" applyAlignment="1" applyProtection="1">
      <alignment vertical="top"/>
      <protection locked="0"/>
    </xf>
    <xf numFmtId="0" fontId="10" fillId="0" borderId="3" xfId="2" applyNumberFormat="1" applyFont="1" applyFill="1" applyBorder="1" applyAlignment="1" applyProtection="1">
      <alignment horizontal="center" vertical="center"/>
      <protection locked="0"/>
    </xf>
    <xf numFmtId="3" fontId="10" fillId="0" borderId="3" xfId="2" applyNumberFormat="1" applyFont="1" applyFill="1" applyBorder="1" applyAlignment="1" applyProtection="1">
      <alignment vertical="top"/>
      <protection locked="0"/>
    </xf>
    <xf numFmtId="0" fontId="4" fillId="0" borderId="3" xfId="2" applyFont="1" applyFill="1" applyBorder="1" applyAlignment="1" applyProtection="1"/>
    <xf numFmtId="0" fontId="10" fillId="0" borderId="3" xfId="2" applyNumberFormat="1" applyFont="1" applyFill="1" applyBorder="1" applyAlignment="1" applyProtection="1">
      <alignment horizontal="center" vertical="top"/>
      <protection locked="0"/>
    </xf>
    <xf numFmtId="4" fontId="10" fillId="0" borderId="3" xfId="2" applyNumberFormat="1" applyFont="1" applyFill="1" applyBorder="1" applyAlignment="1" applyProtection="1">
      <alignment vertical="top"/>
      <protection locked="0"/>
    </xf>
    <xf numFmtId="4" fontId="14" fillId="0" borderId="3" xfId="2" applyNumberFormat="1" applyFont="1" applyFill="1" applyBorder="1" applyAlignment="1" applyProtection="1">
      <alignment vertical="top"/>
      <protection locked="0"/>
    </xf>
    <xf numFmtId="0" fontId="10" fillId="0" borderId="1" xfId="2" applyNumberFormat="1" applyFont="1" applyFill="1" applyBorder="1" applyAlignment="1" applyProtection="1">
      <alignment horizontal="left" vertical="top" indent="1"/>
      <protection locked="0"/>
    </xf>
    <xf numFmtId="9" fontId="15" fillId="0" borderId="0" xfId="2" applyNumberFormat="1" applyFont="1" applyFill="1" applyBorder="1" applyAlignment="1" applyProtection="1">
      <alignment vertical="top"/>
      <protection locked="0"/>
    </xf>
    <xf numFmtId="4" fontId="10" fillId="0" borderId="1" xfId="2" applyNumberFormat="1" applyFont="1" applyFill="1" applyBorder="1" applyAlignment="1" applyProtection="1">
      <alignment horizontal="centerContinuous" vertical="top"/>
      <protection locked="0"/>
    </xf>
    <xf numFmtId="4" fontId="14" fillId="0" borderId="5" xfId="2" applyNumberFormat="1" applyFont="1" applyFill="1" applyBorder="1" applyAlignment="1" applyProtection="1">
      <alignment horizontal="centerContinuous" vertical="top"/>
      <protection locked="0"/>
    </xf>
    <xf numFmtId="4" fontId="14" fillId="0" borderId="1" xfId="2" applyNumberFormat="1" applyFont="1" applyFill="1" applyBorder="1" applyAlignment="1" applyProtection="1">
      <alignment horizontal="centerContinuous" vertical="top"/>
      <protection locked="0"/>
    </xf>
    <xf numFmtId="4" fontId="15" fillId="0" borderId="0" xfId="2" applyNumberFormat="1" applyFont="1" applyFill="1" applyBorder="1" applyAlignment="1" applyProtection="1">
      <alignment horizontal="left" indent="4"/>
    </xf>
    <xf numFmtId="37" fontId="11" fillId="0" borderId="0" xfId="1" applyNumberFormat="1" applyFont="1" applyFill="1" applyAlignment="1" applyProtection="1"/>
    <xf numFmtId="0" fontId="32" fillId="0" borderId="0" xfId="2" applyFont="1" applyAlignment="1">
      <alignment vertical="center"/>
      <protection locked="0"/>
    </xf>
    <xf numFmtId="0" fontId="9" fillId="0" borderId="0" xfId="2" applyFont="1" applyFill="1" applyAlignment="1" applyProtection="1">
      <alignment horizontal="left" indent="3"/>
    </xf>
    <xf numFmtId="0" fontId="11" fillId="0" borderId="0" xfId="4" applyFont="1"/>
    <xf numFmtId="10" fontId="11" fillId="0" borderId="0" xfId="4" applyNumberFormat="1" applyFont="1"/>
    <xf numFmtId="0" fontId="33" fillId="9" borderId="0" xfId="4" applyFont="1" applyFill="1"/>
    <xf numFmtId="0" fontId="34" fillId="0" borderId="0" xfId="5" applyFont="1"/>
    <xf numFmtId="0" fontId="20" fillId="2" borderId="0" xfId="4" applyFont="1" applyFill="1" applyAlignment="1">
      <alignment horizontal="left" vertical="top" wrapText="1"/>
    </xf>
    <xf numFmtId="0" fontId="20" fillId="2" borderId="0" xfId="4" applyFont="1" applyFill="1" applyAlignment="1">
      <alignment horizontal="right" vertical="top" wrapText="1"/>
    </xf>
    <xf numFmtId="4" fontId="35" fillId="0" borderId="0" xfId="4" applyNumberFormat="1" applyFont="1" applyAlignment="1">
      <alignment horizontal="right" vertical="top" wrapText="1"/>
    </xf>
    <xf numFmtId="168" fontId="35" fillId="0" borderId="0" xfId="4" applyNumberFormat="1" applyFont="1" applyAlignment="1">
      <alignment horizontal="right" vertical="top" wrapText="1"/>
    </xf>
    <xf numFmtId="4" fontId="35" fillId="10" borderId="0" xfId="4" applyNumberFormat="1" applyFont="1" applyFill="1" applyAlignment="1">
      <alignment horizontal="right" vertical="top" wrapText="1"/>
    </xf>
    <xf numFmtId="0" fontId="20" fillId="0" borderId="0" xfId="4" applyFont="1" applyAlignment="1">
      <alignment vertical="top" wrapText="1"/>
    </xf>
    <xf numFmtId="4" fontId="20" fillId="0" borderId="0" xfId="4" applyNumberFormat="1" applyFont="1" applyAlignment="1">
      <alignment horizontal="right" vertical="top" wrapText="1"/>
    </xf>
    <xf numFmtId="168" fontId="20" fillId="0" borderId="0" xfId="4" applyNumberFormat="1" applyFont="1" applyAlignment="1">
      <alignment horizontal="right" vertical="top" wrapText="1"/>
    </xf>
    <xf numFmtId="4" fontId="20" fillId="10" borderId="0" xfId="4" applyNumberFormat="1" applyFont="1" applyFill="1" applyAlignment="1">
      <alignment horizontal="right" vertical="top" wrapText="1"/>
    </xf>
    <xf numFmtId="0" fontId="11" fillId="0" borderId="0" xfId="4" applyFont="1" applyAlignment="1">
      <alignment vertical="top" wrapText="1"/>
    </xf>
    <xf numFmtId="9" fontId="35" fillId="10" borderId="0" xfId="4" applyNumberFormat="1" applyFont="1" applyFill="1" applyAlignment="1">
      <alignment horizontal="right" vertical="top" wrapText="1"/>
    </xf>
    <xf numFmtId="168" fontId="35" fillId="10" borderId="0" xfId="4" applyNumberFormat="1" applyFont="1" applyFill="1" applyAlignment="1">
      <alignment horizontal="right" vertical="top" wrapText="1"/>
    </xf>
    <xf numFmtId="0" fontId="14" fillId="7" borderId="0" xfId="4" applyFont="1" applyFill="1"/>
    <xf numFmtId="0" fontId="11" fillId="7" borderId="0" xfId="4" applyFont="1" applyFill="1"/>
    <xf numFmtId="0" fontId="11" fillId="0" borderId="0" xfId="4" applyFont="1" applyAlignment="1">
      <alignment horizontal="left" indent="1"/>
    </xf>
    <xf numFmtId="10" fontId="11" fillId="2" borderId="6" xfId="4" applyNumberFormat="1" applyFont="1" applyFill="1" applyBorder="1"/>
    <xf numFmtId="166" fontId="11" fillId="0" borderId="0" xfId="4" applyNumberFormat="1" applyFont="1"/>
    <xf numFmtId="4" fontId="11" fillId="10" borderId="6" xfId="4" applyNumberFormat="1" applyFont="1" applyFill="1" applyBorder="1"/>
    <xf numFmtId="0" fontId="14" fillId="0" borderId="1" xfId="4" applyFont="1" applyBorder="1"/>
    <xf numFmtId="10" fontId="14" fillId="10" borderId="6" xfId="4" applyNumberFormat="1" applyFont="1" applyFill="1" applyBorder="1"/>
    <xf numFmtId="0" fontId="14" fillId="0" borderId="0" xfId="4" applyFont="1"/>
    <xf numFmtId="0" fontId="36" fillId="0" borderId="0" xfId="9"/>
    <xf numFmtId="0" fontId="7" fillId="0" borderId="0" xfId="4" applyFont="1"/>
    <xf numFmtId="3" fontId="11" fillId="2" borderId="6" xfId="4" applyNumberFormat="1" applyFont="1" applyFill="1" applyBorder="1"/>
    <xf numFmtId="9" fontId="11" fillId="0" borderId="0" xfId="4" applyNumberFormat="1" applyFont="1"/>
    <xf numFmtId="166" fontId="11" fillId="10" borderId="6" xfId="4" applyNumberFormat="1" applyFont="1" applyFill="1" applyBorder="1"/>
    <xf numFmtId="10" fontId="14" fillId="2" borderId="6" xfId="4" applyNumberFormat="1" applyFont="1" applyFill="1" applyBorder="1"/>
    <xf numFmtId="0" fontId="37" fillId="0" borderId="0" xfId="4" applyFont="1"/>
    <xf numFmtId="0" fontId="14" fillId="0" borderId="7" xfId="4" applyFont="1" applyBorder="1"/>
    <xf numFmtId="10" fontId="14" fillId="10" borderId="8" xfId="4" applyNumberFormat="1" applyFont="1" applyFill="1" applyBorder="1"/>
    <xf numFmtId="37" fontId="9" fillId="0" borderId="0" xfId="2" applyNumberFormat="1" applyFont="1" applyAlignment="1" applyProtection="1">
      <alignment horizontal="center"/>
    </xf>
    <xf numFmtId="37" fontId="4" fillId="0" borderId="1" xfId="2" applyNumberFormat="1" applyFont="1" applyBorder="1" applyAlignment="1" applyProtection="1">
      <alignment horizontal="center"/>
    </xf>
    <xf numFmtId="37" fontId="9" fillId="3" borderId="0" xfId="2" applyNumberFormat="1" applyFont="1" applyFill="1" applyAlignment="1" applyProtection="1">
      <alignment horizontal="center"/>
    </xf>
    <xf numFmtId="0" fontId="21" fillId="0" borderId="0" xfId="0" applyFont="1"/>
    <xf numFmtId="164" fontId="4" fillId="4" borderId="0" xfId="2" applyNumberFormat="1" applyFont="1" applyFill="1" applyAlignment="1" applyProtection="1">
      <alignment horizontal="center"/>
    </xf>
    <xf numFmtId="37" fontId="4" fillId="0" borderId="0" xfId="2" applyNumberFormat="1" applyFont="1" applyAlignment="1" applyProtection="1">
      <alignment horizontal="center"/>
    </xf>
  </cellXfs>
  <cellStyles count="10">
    <cellStyle name="Comma 2" xfId="6" xr:uid="{B059AC1F-2AD9-4EBE-B82D-90099A44D637}"/>
    <cellStyle name="Hyperlink" xfId="9" builtinId="8"/>
    <cellStyle name="Invisible" xfId="5" xr:uid="{AB1C9471-35BD-4A4F-9433-A52B22B73008}"/>
    <cellStyle name="Invisible 2" xfId="8" xr:uid="{EA18EB3F-6D96-4797-90EC-362B064D2639}"/>
    <cellStyle name="Normal" xfId="0" builtinId="0"/>
    <cellStyle name="Normal 2" xfId="2" xr:uid="{65CA6FBB-B5DE-46BE-8C52-50713CA945C1}"/>
    <cellStyle name="Normal 2 2" xfId="4" xr:uid="{D0BEE3D6-E2BF-4A37-8D61-3E19A75E1C4B}"/>
    <cellStyle name="Normal 3" xfId="7" xr:uid="{DFAB17A9-563C-4E59-8C00-F2EB25A009E2}"/>
    <cellStyle name="Normal 3 2" xfId="3" xr:uid="{25176BE6-D089-4F94-ABD3-CC2E01A82E6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123264</xdr:colOff>
      <xdr:row>30</xdr:row>
      <xdr:rowOff>156882</xdr:rowOff>
    </xdr:from>
    <xdr:to>
      <xdr:col>2</xdr:col>
      <xdr:colOff>907676</xdr:colOff>
      <xdr:row>33</xdr:row>
      <xdr:rowOff>45351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319B00-A82E-4E37-B008-A2672C6B9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9989" y="7805457"/>
          <a:ext cx="784412" cy="459969"/>
        </a:xfrm>
        <a:prstGeom prst="rect">
          <a:avLst/>
        </a:prstGeom>
      </xdr:spPr>
    </xdr:pic>
    <xdr:clientData/>
  </xdr:twoCellAnchor>
  <xdr:twoCellAnchor editAs="oneCell">
    <xdr:from>
      <xdr:col>5</xdr:col>
      <xdr:colOff>33618</xdr:colOff>
      <xdr:row>3</xdr:row>
      <xdr:rowOff>123265</xdr:rowOff>
    </xdr:from>
    <xdr:to>
      <xdr:col>7</xdr:col>
      <xdr:colOff>0</xdr:colOff>
      <xdr:row>6</xdr:row>
      <xdr:rowOff>56030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576C38-C3F2-41AD-8E25-5031A6294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7893" y="3428440"/>
          <a:ext cx="1509432" cy="389965"/>
        </a:xfrm>
        <a:prstGeom prst="rect">
          <a:avLst/>
        </a:prstGeom>
      </xdr:spPr>
    </xdr:pic>
    <xdr:clientData/>
  </xdr:twoCellAnchor>
  <xdr:twoCellAnchor editAs="oneCell">
    <xdr:from>
      <xdr:col>5</xdr:col>
      <xdr:colOff>22413</xdr:colOff>
      <xdr:row>19</xdr:row>
      <xdr:rowOff>347383</xdr:rowOff>
    </xdr:from>
    <xdr:to>
      <xdr:col>6</xdr:col>
      <xdr:colOff>773207</xdr:colOff>
      <xdr:row>21</xdr:row>
      <xdr:rowOff>67236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0092E7-3859-4541-B50D-6EAB8FF4D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6688" y="5709958"/>
          <a:ext cx="1512794" cy="2913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yserver\servidor\Fabio%20Pagliuso\Finan&#231;as\BIWS\21-24-YHOO-Valuation-DCF-WACC-Bef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&amp;I\Boot%20Camp\MSFT-YHOO-Case-Study\11-YHOO-Valuation\YHOO-Valu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Revenue Build"/>
      <sheetName val="Expense Build"/>
      <sheetName val="Operating Model"/>
      <sheetName val="Valuation Summary"/>
      <sheetName val="Valuation Graph"/>
      <sheetName val="Public Comps"/>
      <sheetName val="Public-Comps-Data"/>
      <sheetName val="YHOO-Equity-Interests"/>
      <sheetName val="YHOO-NOLs"/>
      <sheetName val="M&amp;A-Comps"/>
      <sheetName val="M&amp;A-Comps-Data"/>
      <sheetName val="M&amp;A-Premiums"/>
      <sheetName val="DCF"/>
      <sheetName val="WACC"/>
      <sheetName val="Future-Share-Price"/>
      <sheetName val="Sum-of-Parts"/>
      <sheetName val="Liquidation"/>
      <sheetName val="Share-Calculations"/>
    </sheetNames>
    <sheetDataSet>
      <sheetData sheetId="0">
        <row r="4">
          <cell r="E4" t="str">
            <v>Yahoo! Inc.</v>
          </cell>
          <cell r="L4">
            <v>0.4</v>
          </cell>
        </row>
        <row r="5">
          <cell r="E5" t="str">
            <v>YHOO</v>
          </cell>
        </row>
        <row r="6">
          <cell r="E6">
            <v>39447</v>
          </cell>
        </row>
        <row r="9">
          <cell r="E9">
            <v>1</v>
          </cell>
          <cell r="F9" t="str">
            <v>Base</v>
          </cell>
        </row>
        <row r="12">
          <cell r="L12" t="str">
            <v>TTM</v>
          </cell>
        </row>
        <row r="13">
          <cell r="I13" t="str">
            <v>Forward Year 1</v>
          </cell>
          <cell r="L13">
            <v>39813</v>
          </cell>
        </row>
        <row r="14">
          <cell r="E14">
            <v>365</v>
          </cell>
          <cell r="I14" t="str">
            <v>Forward Year 2</v>
          </cell>
          <cell r="L14">
            <v>40178</v>
          </cell>
        </row>
        <row r="15">
          <cell r="E15">
            <v>1000000</v>
          </cell>
          <cell r="L15">
            <v>40543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D2">
            <v>0</v>
          </cell>
          <cell r="E2">
            <v>0</v>
          </cell>
          <cell r="F2">
            <v>0</v>
          </cell>
          <cell r="G2" t="str">
            <v>GOOG</v>
          </cell>
          <cell r="I2">
            <v>0</v>
          </cell>
          <cell r="J2">
            <v>0</v>
          </cell>
          <cell r="K2">
            <v>0</v>
          </cell>
          <cell r="L2" t="str">
            <v>EBAY</v>
          </cell>
          <cell r="N2">
            <v>0</v>
          </cell>
          <cell r="O2">
            <v>0</v>
          </cell>
          <cell r="P2">
            <v>0</v>
          </cell>
          <cell r="Q2" t="str">
            <v>AMZN</v>
          </cell>
          <cell r="S2">
            <v>0</v>
          </cell>
          <cell r="T2">
            <v>0</v>
          </cell>
          <cell r="U2">
            <v>0</v>
          </cell>
          <cell r="V2" t="str">
            <v>IACI</v>
          </cell>
          <cell r="X2">
            <v>0</v>
          </cell>
          <cell r="Y2">
            <v>0</v>
          </cell>
          <cell r="Z2">
            <v>0</v>
          </cell>
          <cell r="AA2" t="str">
            <v>YHOO</v>
          </cell>
        </row>
        <row r="3">
          <cell r="D3">
            <v>0</v>
          </cell>
          <cell r="E3">
            <v>0</v>
          </cell>
          <cell r="F3">
            <v>0</v>
          </cell>
          <cell r="G3" t="str">
            <v>Google Inc.</v>
          </cell>
          <cell r="I3">
            <v>0</v>
          </cell>
          <cell r="J3">
            <v>0</v>
          </cell>
          <cell r="K3">
            <v>0</v>
          </cell>
          <cell r="L3" t="str">
            <v>eBay Inc.</v>
          </cell>
          <cell r="N3">
            <v>0</v>
          </cell>
          <cell r="O3">
            <v>0</v>
          </cell>
          <cell r="P3">
            <v>0</v>
          </cell>
          <cell r="Q3" t="str">
            <v>Amazon.com, Inc.</v>
          </cell>
          <cell r="S3">
            <v>0</v>
          </cell>
          <cell r="T3">
            <v>0</v>
          </cell>
          <cell r="U3">
            <v>0</v>
          </cell>
          <cell r="V3" t="str">
            <v>IAC/InterActiveCorp</v>
          </cell>
          <cell r="X3">
            <v>0</v>
          </cell>
          <cell r="Y3">
            <v>0</v>
          </cell>
          <cell r="Z3">
            <v>0</v>
          </cell>
          <cell r="AA3" t="str">
            <v>Yahoo! Inc.</v>
          </cell>
        </row>
        <row r="4">
          <cell r="D4" t="str">
            <v>Calendarization</v>
          </cell>
          <cell r="E4">
            <v>0</v>
          </cell>
          <cell r="F4">
            <v>0</v>
          </cell>
          <cell r="G4">
            <v>0</v>
          </cell>
          <cell r="I4" t="str">
            <v>Calendarization</v>
          </cell>
          <cell r="J4">
            <v>0</v>
          </cell>
          <cell r="K4">
            <v>0</v>
          </cell>
          <cell r="L4">
            <v>0</v>
          </cell>
          <cell r="N4" t="str">
            <v>Calendarization</v>
          </cell>
          <cell r="O4">
            <v>0</v>
          </cell>
          <cell r="P4">
            <v>0</v>
          </cell>
          <cell r="Q4">
            <v>0</v>
          </cell>
          <cell r="S4" t="str">
            <v>Calendarization</v>
          </cell>
          <cell r="T4">
            <v>0</v>
          </cell>
          <cell r="U4">
            <v>0</v>
          </cell>
          <cell r="V4">
            <v>0</v>
          </cell>
          <cell r="X4" t="str">
            <v>Calendarization</v>
          </cell>
          <cell r="Y4">
            <v>0</v>
          </cell>
          <cell r="Z4">
            <v>0</v>
          </cell>
          <cell r="AA4">
            <v>0</v>
          </cell>
        </row>
        <row r="5">
          <cell r="D5" t="str">
            <v>Old Partial</v>
          </cell>
          <cell r="E5" t="str">
            <v>New Partial</v>
          </cell>
          <cell r="F5" t="str">
            <v>FY</v>
          </cell>
          <cell r="G5" t="str">
            <v>TTM</v>
          </cell>
          <cell r="I5" t="str">
            <v>Old Partial</v>
          </cell>
          <cell r="J5" t="str">
            <v>New Partial</v>
          </cell>
          <cell r="K5" t="str">
            <v>FY</v>
          </cell>
          <cell r="L5" t="str">
            <v>TTM</v>
          </cell>
          <cell r="N5" t="str">
            <v>Old Partial</v>
          </cell>
          <cell r="O5" t="str">
            <v>New Partial</v>
          </cell>
          <cell r="P5" t="str">
            <v>FY</v>
          </cell>
          <cell r="Q5" t="str">
            <v>TTM</v>
          </cell>
          <cell r="S5" t="str">
            <v>Old Partial</v>
          </cell>
          <cell r="T5" t="str">
            <v>New Partial</v>
          </cell>
          <cell r="U5" t="str">
            <v>FY</v>
          </cell>
          <cell r="V5" t="str">
            <v>TTM</v>
          </cell>
          <cell r="X5" t="str">
            <v>Old Partial</v>
          </cell>
          <cell r="Y5" t="str">
            <v>New Partial</v>
          </cell>
          <cell r="Z5" t="str">
            <v>FY</v>
          </cell>
          <cell r="AA5" t="str">
            <v>TTM</v>
          </cell>
        </row>
        <row r="6">
          <cell r="D6">
            <v>0</v>
          </cell>
          <cell r="E6">
            <v>0</v>
          </cell>
          <cell r="F6">
            <v>11660.086000000001</v>
          </cell>
          <cell r="G6">
            <v>11660.086000000001</v>
          </cell>
          <cell r="I6">
            <v>0</v>
          </cell>
          <cell r="J6">
            <v>0</v>
          </cell>
          <cell r="K6">
            <v>7672.3289999999997</v>
          </cell>
          <cell r="L6">
            <v>7672.3289999999997</v>
          </cell>
          <cell r="N6">
            <v>0</v>
          </cell>
          <cell r="O6">
            <v>0</v>
          </cell>
          <cell r="P6">
            <v>14835</v>
          </cell>
          <cell r="Q6">
            <v>14835</v>
          </cell>
          <cell r="S6">
            <v>0</v>
          </cell>
          <cell r="T6">
            <v>0</v>
          </cell>
          <cell r="U6">
            <v>6373.41</v>
          </cell>
          <cell r="V6">
            <v>6373.41</v>
          </cell>
          <cell r="X6">
            <v>0</v>
          </cell>
          <cell r="Y6">
            <v>0</v>
          </cell>
          <cell r="Z6">
            <v>5112.5720000000001</v>
          </cell>
          <cell r="AA6">
            <v>5112.5720000000001</v>
          </cell>
        </row>
        <row r="7">
          <cell r="D7">
            <v>0</v>
          </cell>
          <cell r="E7">
            <v>0</v>
          </cell>
          <cell r="F7">
            <v>1715.1850000000004</v>
          </cell>
          <cell r="G7">
            <v>1715.1850000000004</v>
          </cell>
          <cell r="I7">
            <v>0</v>
          </cell>
          <cell r="J7">
            <v>0</v>
          </cell>
          <cell r="K7">
            <v>1762.972</v>
          </cell>
          <cell r="L7">
            <v>1762.972</v>
          </cell>
          <cell r="N7">
            <v>0</v>
          </cell>
          <cell r="O7">
            <v>0</v>
          </cell>
          <cell r="P7">
            <v>11482</v>
          </cell>
          <cell r="Q7">
            <v>11482</v>
          </cell>
          <cell r="S7">
            <v>0</v>
          </cell>
          <cell r="T7">
            <v>0</v>
          </cell>
          <cell r="U7">
            <v>3374.4560000000001</v>
          </cell>
          <cell r="V7">
            <v>3374.4560000000001</v>
          </cell>
          <cell r="X7">
            <v>0</v>
          </cell>
          <cell r="Y7">
            <v>0</v>
          </cell>
          <cell r="Z7">
            <v>982.05700000000002</v>
          </cell>
          <cell r="AA7">
            <v>982.05700000000002</v>
          </cell>
        </row>
        <row r="8">
          <cell r="D8">
            <v>0</v>
          </cell>
          <cell r="E8">
            <v>0</v>
          </cell>
          <cell r="F8">
            <v>9944.9010000000017</v>
          </cell>
          <cell r="G8">
            <v>9944.9010000000017</v>
          </cell>
          <cell r="I8">
            <v>0</v>
          </cell>
          <cell r="J8">
            <v>0</v>
          </cell>
          <cell r="K8">
            <v>5909.357</v>
          </cell>
          <cell r="L8">
            <v>5909.357</v>
          </cell>
          <cell r="N8">
            <v>0</v>
          </cell>
          <cell r="O8">
            <v>0</v>
          </cell>
          <cell r="P8">
            <v>3353</v>
          </cell>
          <cell r="Q8">
            <v>3353</v>
          </cell>
          <cell r="S8">
            <v>0</v>
          </cell>
          <cell r="T8">
            <v>0</v>
          </cell>
          <cell r="U8">
            <v>2998.9539999999997</v>
          </cell>
          <cell r="V8">
            <v>2998.9539999999997</v>
          </cell>
          <cell r="X8">
            <v>0</v>
          </cell>
          <cell r="Y8">
            <v>0</v>
          </cell>
          <cell r="Z8">
            <v>4130.5150000000003</v>
          </cell>
          <cell r="AA8">
            <v>4130.5150000000003</v>
          </cell>
        </row>
        <row r="9">
          <cell r="D9">
            <v>0</v>
          </cell>
          <cell r="E9">
            <v>0</v>
          </cell>
          <cell r="F9">
            <v>4860.5009999999984</v>
          </cell>
          <cell r="G9">
            <v>4860.5009999999984</v>
          </cell>
          <cell r="I9">
            <v>0</v>
          </cell>
          <cell r="J9">
            <v>0</v>
          </cell>
          <cell r="K9">
            <v>5296.1769999999997</v>
          </cell>
          <cell r="L9">
            <v>5296.1769999999997</v>
          </cell>
          <cell r="N9">
            <v>0</v>
          </cell>
          <cell r="O9">
            <v>0</v>
          </cell>
          <cell r="P9">
            <v>2698</v>
          </cell>
          <cell r="Q9">
            <v>2698</v>
          </cell>
          <cell r="S9">
            <v>0</v>
          </cell>
          <cell r="T9">
            <v>0</v>
          </cell>
          <cell r="U9">
            <v>3158.5180000000005</v>
          </cell>
          <cell r="V9">
            <v>3158.5180000000005</v>
          </cell>
          <cell r="X9">
            <v>0</v>
          </cell>
          <cell r="Y9">
            <v>0</v>
          </cell>
          <cell r="Z9">
            <v>3435.1030000000001</v>
          </cell>
          <cell r="AA9">
            <v>3435.1030000000001</v>
          </cell>
        </row>
        <row r="10">
          <cell r="D10">
            <v>0</v>
          </cell>
          <cell r="E10">
            <v>0</v>
          </cell>
          <cell r="F10">
            <v>589.58000000000004</v>
          </cell>
          <cell r="G10">
            <v>589.58000000000004</v>
          </cell>
          <cell r="I10">
            <v>0</v>
          </cell>
          <cell r="J10">
            <v>0</v>
          </cell>
          <cell r="K10">
            <v>137.67099999999999</v>
          </cell>
          <cell r="L10">
            <v>137.67099999999999</v>
          </cell>
          <cell r="N10">
            <v>0</v>
          </cell>
          <cell r="O10">
            <v>0</v>
          </cell>
          <cell r="P10">
            <v>5</v>
          </cell>
          <cell r="Q10">
            <v>5</v>
          </cell>
          <cell r="S10">
            <v>0</v>
          </cell>
          <cell r="T10">
            <v>0</v>
          </cell>
          <cell r="U10">
            <v>87.486000000000004</v>
          </cell>
          <cell r="V10">
            <v>87.486000000000004</v>
          </cell>
          <cell r="X10">
            <v>0</v>
          </cell>
          <cell r="Y10">
            <v>0</v>
          </cell>
          <cell r="Z10">
            <v>154.011</v>
          </cell>
          <cell r="AA10">
            <v>154.011</v>
          </cell>
        </row>
        <row r="11">
          <cell r="D11">
            <v>0</v>
          </cell>
          <cell r="E11">
            <v>0</v>
          </cell>
          <cell r="F11">
            <v>5673.9800000000032</v>
          </cell>
          <cell r="G11">
            <v>5673.9800000000032</v>
          </cell>
          <cell r="I11">
            <v>0</v>
          </cell>
          <cell r="J11">
            <v>0</v>
          </cell>
          <cell r="K11">
            <v>750.85100000000034</v>
          </cell>
          <cell r="L11">
            <v>750.85100000000034</v>
          </cell>
          <cell r="N11">
            <v>0</v>
          </cell>
          <cell r="O11">
            <v>0</v>
          </cell>
          <cell r="P11">
            <v>660</v>
          </cell>
          <cell r="Q11">
            <v>660</v>
          </cell>
          <cell r="S11">
            <v>0</v>
          </cell>
          <cell r="T11">
            <v>0</v>
          </cell>
          <cell r="U11">
            <v>-72.078000000000756</v>
          </cell>
          <cell r="V11">
            <v>-72.078000000000756</v>
          </cell>
          <cell r="X11">
            <v>0</v>
          </cell>
          <cell r="Y11">
            <v>0</v>
          </cell>
          <cell r="Z11">
            <v>849.42300000000023</v>
          </cell>
          <cell r="AA11">
            <v>849.42300000000023</v>
          </cell>
        </row>
        <row r="12">
          <cell r="D12">
            <v>0</v>
          </cell>
          <cell r="E12">
            <v>0</v>
          </cell>
          <cell r="F12">
            <v>1470.26</v>
          </cell>
          <cell r="G12">
            <v>1470.26</v>
          </cell>
          <cell r="I12">
            <v>0</v>
          </cell>
          <cell r="J12">
            <v>0</v>
          </cell>
          <cell r="K12">
            <v>402.6</v>
          </cell>
          <cell r="L12">
            <v>402.6</v>
          </cell>
          <cell r="N12">
            <v>0</v>
          </cell>
          <cell r="O12">
            <v>0</v>
          </cell>
          <cell r="P12">
            <v>184</v>
          </cell>
          <cell r="Q12">
            <v>184</v>
          </cell>
          <cell r="S12">
            <v>0</v>
          </cell>
          <cell r="T12">
            <v>0</v>
          </cell>
          <cell r="U12">
            <v>138.05199999999999</v>
          </cell>
          <cell r="V12">
            <v>138.05199999999999</v>
          </cell>
          <cell r="X12">
            <v>0</v>
          </cell>
          <cell r="Y12">
            <v>0</v>
          </cell>
          <cell r="Z12">
            <v>337.26299999999998</v>
          </cell>
          <cell r="AA12">
            <v>337.26299999999998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S13">
            <v>0</v>
          </cell>
          <cell r="T13">
            <v>0</v>
          </cell>
          <cell r="U13">
            <v>4.5609999999999999</v>
          </cell>
          <cell r="V13">
            <v>4.5609999999999999</v>
          </cell>
          <cell r="X13">
            <v>0</v>
          </cell>
          <cell r="Y13">
            <v>0</v>
          </cell>
          <cell r="Z13">
            <v>-2.85</v>
          </cell>
          <cell r="AA13">
            <v>-2.85</v>
          </cell>
        </row>
        <row r="14">
          <cell r="D14">
            <v>0</v>
          </cell>
          <cell r="E14">
            <v>0</v>
          </cell>
          <cell r="F14">
            <v>4203.720000000003</v>
          </cell>
          <cell r="G14">
            <v>4203.720000000003</v>
          </cell>
          <cell r="I14">
            <v>0</v>
          </cell>
          <cell r="J14">
            <v>0</v>
          </cell>
          <cell r="K14">
            <v>348.25100000000032</v>
          </cell>
          <cell r="L14">
            <v>348.25100000000032</v>
          </cell>
          <cell r="N14">
            <v>0</v>
          </cell>
          <cell r="O14">
            <v>0</v>
          </cell>
          <cell r="P14">
            <v>476</v>
          </cell>
          <cell r="Q14">
            <v>476</v>
          </cell>
          <cell r="S14">
            <v>0</v>
          </cell>
          <cell r="T14">
            <v>0</v>
          </cell>
          <cell r="U14">
            <v>-205.56900000000073</v>
          </cell>
          <cell r="V14">
            <v>-205.56900000000073</v>
          </cell>
          <cell r="X14">
            <v>0</v>
          </cell>
          <cell r="Y14">
            <v>0</v>
          </cell>
          <cell r="Z14">
            <v>659.99900000000025</v>
          </cell>
          <cell r="AA14">
            <v>659.99900000000025</v>
          </cell>
        </row>
        <row r="15">
          <cell r="D15">
            <v>0</v>
          </cell>
          <cell r="E15">
            <v>0</v>
          </cell>
          <cell r="F15">
            <v>159.91499999999999</v>
          </cell>
          <cell r="G15">
            <v>159.91499999999999</v>
          </cell>
          <cell r="H15">
            <v>0</v>
          </cell>
          <cell r="I15">
            <v>0</v>
          </cell>
          <cell r="J15">
            <v>0</v>
          </cell>
          <cell r="K15">
            <v>204.10400000000001</v>
          </cell>
          <cell r="L15">
            <v>204.10400000000001</v>
          </cell>
          <cell r="N15">
            <v>0</v>
          </cell>
          <cell r="O15">
            <v>0</v>
          </cell>
          <cell r="P15">
            <v>129</v>
          </cell>
          <cell r="Q15">
            <v>129</v>
          </cell>
          <cell r="S15">
            <v>0</v>
          </cell>
          <cell r="T15">
            <v>0</v>
          </cell>
          <cell r="U15">
            <v>206.39499999999998</v>
          </cell>
          <cell r="V15">
            <v>206.39499999999998</v>
          </cell>
          <cell r="X15">
            <v>0</v>
          </cell>
          <cell r="Y15">
            <v>0</v>
          </cell>
          <cell r="Z15">
            <v>249.82900000000001</v>
          </cell>
          <cell r="AA15">
            <v>249.82900000000001</v>
          </cell>
        </row>
        <row r="16">
          <cell r="D16">
            <v>0</v>
          </cell>
          <cell r="E16">
            <v>0</v>
          </cell>
          <cell r="F16">
            <v>807.74300000000005</v>
          </cell>
          <cell r="G16">
            <v>807.74300000000005</v>
          </cell>
          <cell r="I16">
            <v>0</v>
          </cell>
          <cell r="J16">
            <v>0</v>
          </cell>
          <cell r="K16">
            <v>397.60299999999995</v>
          </cell>
          <cell r="L16">
            <v>397.60299999999995</v>
          </cell>
          <cell r="N16">
            <v>0</v>
          </cell>
          <cell r="O16">
            <v>0</v>
          </cell>
          <cell r="P16">
            <v>117</v>
          </cell>
          <cell r="Q16">
            <v>117</v>
          </cell>
          <cell r="S16">
            <v>0</v>
          </cell>
          <cell r="T16">
            <v>0</v>
          </cell>
          <cell r="U16">
            <v>156.416</v>
          </cell>
          <cell r="V16">
            <v>156.416</v>
          </cell>
          <cell r="W16">
            <v>0</v>
          </cell>
          <cell r="X16">
            <v>0</v>
          </cell>
          <cell r="Y16">
            <v>0</v>
          </cell>
          <cell r="Z16">
            <v>409.36599999999999</v>
          </cell>
          <cell r="AA16">
            <v>409.36599999999999</v>
          </cell>
        </row>
        <row r="17">
          <cell r="D17">
            <v>0</v>
          </cell>
          <cell r="E17">
            <v>0</v>
          </cell>
          <cell r="F17">
            <v>868.64599999999996</v>
          </cell>
          <cell r="G17">
            <v>868.64599999999996</v>
          </cell>
          <cell r="I17">
            <v>0</v>
          </cell>
          <cell r="J17">
            <v>0</v>
          </cell>
          <cell r="K17">
            <v>301.81299999999999</v>
          </cell>
          <cell r="L17">
            <v>301.81299999999999</v>
          </cell>
          <cell r="N17">
            <v>0</v>
          </cell>
          <cell r="O17">
            <v>0</v>
          </cell>
          <cell r="P17">
            <v>185</v>
          </cell>
          <cell r="Q17">
            <v>185</v>
          </cell>
          <cell r="S17">
            <v>0</v>
          </cell>
          <cell r="T17">
            <v>0</v>
          </cell>
          <cell r="U17">
            <v>105.61199999999999</v>
          </cell>
          <cell r="V17">
            <v>105.61199999999999</v>
          </cell>
          <cell r="X17">
            <v>0</v>
          </cell>
          <cell r="Y17">
            <v>0</v>
          </cell>
          <cell r="Z17">
            <v>572.42700000000002</v>
          </cell>
          <cell r="AA17">
            <v>572.42700000000002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I18">
            <v>0</v>
          </cell>
          <cell r="J18">
            <v>0</v>
          </cell>
          <cell r="K18">
            <v>1390.9380000000001</v>
          </cell>
          <cell r="L18">
            <v>1390.9380000000001</v>
          </cell>
          <cell r="N18">
            <v>0</v>
          </cell>
          <cell r="O18">
            <v>0</v>
          </cell>
          <cell r="P18">
            <v>9</v>
          </cell>
          <cell r="Q18">
            <v>9</v>
          </cell>
          <cell r="S18">
            <v>0</v>
          </cell>
          <cell r="T18">
            <v>0</v>
          </cell>
          <cell r="U18">
            <v>507.76400000000001</v>
          </cell>
          <cell r="V18">
            <v>507.76400000000001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0.35</v>
          </cell>
          <cell r="I19">
            <v>0</v>
          </cell>
          <cell r="J19">
            <v>0</v>
          </cell>
          <cell r="K19">
            <v>0</v>
          </cell>
          <cell r="L19">
            <v>0.35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0.35</v>
          </cell>
          <cell r="S19">
            <v>0</v>
          </cell>
          <cell r="T19">
            <v>0</v>
          </cell>
          <cell r="U19">
            <v>0</v>
          </cell>
          <cell r="V19">
            <v>0.35</v>
          </cell>
          <cell r="X19">
            <v>0</v>
          </cell>
          <cell r="Y19">
            <v>0</v>
          </cell>
          <cell r="Z19">
            <v>0</v>
          </cell>
          <cell r="AA19">
            <v>0.4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D21">
            <v>0</v>
          </cell>
          <cell r="E21">
            <v>0</v>
          </cell>
          <cell r="F21">
            <v>4356.6516500000016</v>
          </cell>
          <cell r="G21">
            <v>4356.6516500000016</v>
          </cell>
          <cell r="I21">
            <v>0</v>
          </cell>
          <cell r="J21">
            <v>0</v>
          </cell>
          <cell r="K21">
            <v>1721.0089000000005</v>
          </cell>
          <cell r="L21">
            <v>1721.0089000000005</v>
          </cell>
          <cell r="N21">
            <v>0</v>
          </cell>
          <cell r="O21">
            <v>0</v>
          </cell>
          <cell r="P21">
            <v>638.95000000000005</v>
          </cell>
          <cell r="Q21">
            <v>638.95000000000005</v>
          </cell>
          <cell r="S21">
            <v>0</v>
          </cell>
          <cell r="T21">
            <v>0</v>
          </cell>
          <cell r="U21">
            <v>490.56144999999947</v>
          </cell>
          <cell r="V21">
            <v>490.56144999999947</v>
          </cell>
          <cell r="X21">
            <v>0</v>
          </cell>
          <cell r="Y21">
            <v>0</v>
          </cell>
          <cell r="Z21">
            <v>1150.8464000000001</v>
          </cell>
          <cell r="AA21">
            <v>1150.8464000000001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13.683244682869462</v>
          </cell>
          <cell r="I22">
            <v>0</v>
          </cell>
          <cell r="J22">
            <v>0</v>
          </cell>
          <cell r="K22">
            <v>0</v>
          </cell>
          <cell r="L22">
            <v>1.29599204709293</v>
          </cell>
          <cell r="N22">
            <v>0</v>
          </cell>
          <cell r="O22">
            <v>0</v>
          </cell>
          <cell r="P22">
            <v>0</v>
          </cell>
          <cell r="Q22">
            <v>1.4834390979014545</v>
          </cell>
          <cell r="S22">
            <v>0</v>
          </cell>
          <cell r="T22">
            <v>0</v>
          </cell>
          <cell r="U22">
            <v>0</v>
          </cell>
          <cell r="V22">
            <v>1.732352055141765</v>
          </cell>
          <cell r="X22">
            <v>0</v>
          </cell>
          <cell r="Y22">
            <v>0</v>
          </cell>
          <cell r="Z22">
            <v>0</v>
          </cell>
          <cell r="AA22">
            <v>0.86066144255016364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D24">
            <v>0</v>
          </cell>
          <cell r="E24">
            <v>0</v>
          </cell>
          <cell r="F24">
            <v>6920.7040000000034</v>
          </cell>
          <cell r="G24">
            <v>6920.7040000000034</v>
          </cell>
          <cell r="I24">
            <v>0</v>
          </cell>
          <cell r="J24">
            <v>0</v>
          </cell>
          <cell r="K24">
            <v>2907.6380000000004</v>
          </cell>
          <cell r="L24">
            <v>2907.6380000000004</v>
          </cell>
          <cell r="N24">
            <v>0</v>
          </cell>
          <cell r="O24">
            <v>0</v>
          </cell>
          <cell r="P24">
            <v>1095</v>
          </cell>
          <cell r="Q24">
            <v>1095</v>
          </cell>
          <cell r="R24">
            <v>0</v>
          </cell>
          <cell r="S24">
            <v>0</v>
          </cell>
          <cell r="T24">
            <v>0</v>
          </cell>
          <cell r="U24">
            <v>816.62299999999925</v>
          </cell>
          <cell r="V24">
            <v>816.62299999999925</v>
          </cell>
          <cell r="X24">
            <v>0</v>
          </cell>
          <cell r="Y24">
            <v>0</v>
          </cell>
          <cell r="Z24">
            <v>1927.0340000000001</v>
          </cell>
          <cell r="AA24">
            <v>1927.0340000000001</v>
          </cell>
        </row>
        <row r="25">
          <cell r="D25">
            <v>0</v>
          </cell>
          <cell r="E25">
            <v>0</v>
          </cell>
          <cell r="F25">
            <v>5953.046000000003</v>
          </cell>
          <cell r="G25">
            <v>5953.046000000003</v>
          </cell>
          <cell r="I25">
            <v>0</v>
          </cell>
          <cell r="J25">
            <v>0</v>
          </cell>
          <cell r="K25">
            <v>2305.9310000000005</v>
          </cell>
          <cell r="L25">
            <v>2305.9310000000005</v>
          </cell>
          <cell r="N25">
            <v>0</v>
          </cell>
          <cell r="O25">
            <v>0</v>
          </cell>
          <cell r="P25">
            <v>849</v>
          </cell>
          <cell r="Q25">
            <v>849</v>
          </cell>
          <cell r="S25">
            <v>0</v>
          </cell>
          <cell r="T25">
            <v>0</v>
          </cell>
          <cell r="U25">
            <v>453.81199999999922</v>
          </cell>
          <cell r="V25">
            <v>453.81199999999922</v>
          </cell>
          <cell r="X25">
            <v>0</v>
          </cell>
          <cell r="Y25">
            <v>0</v>
          </cell>
          <cell r="Z25">
            <v>1267.8390000000004</v>
          </cell>
          <cell r="AA25">
            <v>1267.8390000000004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D27" t="str">
            <v>Balance Sheet Data</v>
          </cell>
          <cell r="E27">
            <v>0</v>
          </cell>
          <cell r="F27">
            <v>0</v>
          </cell>
          <cell r="G27">
            <v>0</v>
          </cell>
          <cell r="I27" t="str">
            <v>Balance Sheet Data</v>
          </cell>
          <cell r="J27">
            <v>0</v>
          </cell>
          <cell r="K27">
            <v>0</v>
          </cell>
          <cell r="L27">
            <v>0</v>
          </cell>
          <cell r="N27" t="str">
            <v>Balance Sheet Data</v>
          </cell>
          <cell r="O27">
            <v>0</v>
          </cell>
          <cell r="P27">
            <v>0</v>
          </cell>
          <cell r="Q27">
            <v>0</v>
          </cell>
          <cell r="S27" t="str">
            <v>Balance Sheet Data</v>
          </cell>
          <cell r="T27">
            <v>0</v>
          </cell>
          <cell r="U27">
            <v>0</v>
          </cell>
          <cell r="V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15278.307000000001</v>
          </cell>
          <cell r="I28">
            <v>0</v>
          </cell>
          <cell r="J28">
            <v>0</v>
          </cell>
          <cell r="K28">
            <v>0</v>
          </cell>
          <cell r="L28">
            <v>5035.692</v>
          </cell>
          <cell r="N28">
            <v>0</v>
          </cell>
          <cell r="O28">
            <v>0</v>
          </cell>
          <cell r="P28">
            <v>0</v>
          </cell>
          <cell r="Q28">
            <v>3112</v>
          </cell>
          <cell r="S28">
            <v>0</v>
          </cell>
          <cell r="T28">
            <v>0</v>
          </cell>
          <cell r="U28">
            <v>0</v>
          </cell>
          <cell r="V28">
            <v>2386.1089999999999</v>
          </cell>
          <cell r="X28">
            <v>0</v>
          </cell>
          <cell r="Y28">
            <v>0</v>
          </cell>
          <cell r="Z28">
            <v>0</v>
          </cell>
          <cell r="AA28">
            <v>2363.4720000000002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Q29">
            <v>1299</v>
          </cell>
          <cell r="S29">
            <v>0</v>
          </cell>
          <cell r="T29">
            <v>0</v>
          </cell>
          <cell r="U29">
            <v>0</v>
          </cell>
          <cell r="V29">
            <v>946.423</v>
          </cell>
          <cell r="X29">
            <v>0</v>
          </cell>
          <cell r="Y29">
            <v>0</v>
          </cell>
          <cell r="Z29">
            <v>0</v>
          </cell>
          <cell r="AA29">
            <v>749.62800000000004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T31">
            <v>0</v>
          </cell>
          <cell r="U31">
            <v>0</v>
          </cell>
          <cell r="V31">
            <v>40.481000000000002</v>
          </cell>
          <cell r="X31">
            <v>0</v>
          </cell>
          <cell r="Y31">
            <v>0</v>
          </cell>
          <cell r="Z31">
            <v>0</v>
          </cell>
          <cell r="AA31">
            <v>12.254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D33" t="str">
            <v>Equity Research Projections</v>
          </cell>
          <cell r="E33">
            <v>0</v>
          </cell>
          <cell r="F33">
            <v>0</v>
          </cell>
          <cell r="G33">
            <v>0</v>
          </cell>
          <cell r="I33" t="str">
            <v>Equity Research Projections</v>
          </cell>
          <cell r="J33">
            <v>0</v>
          </cell>
          <cell r="K33">
            <v>0</v>
          </cell>
          <cell r="L33">
            <v>0</v>
          </cell>
          <cell r="N33" t="str">
            <v>Equity Research Projections</v>
          </cell>
          <cell r="O33">
            <v>0</v>
          </cell>
          <cell r="P33">
            <v>0</v>
          </cell>
          <cell r="Q33">
            <v>0</v>
          </cell>
          <cell r="S33" t="str">
            <v>Equity Research Projections</v>
          </cell>
          <cell r="T33">
            <v>0</v>
          </cell>
          <cell r="U33">
            <v>0</v>
          </cell>
          <cell r="V33">
            <v>0</v>
          </cell>
          <cell r="X33" t="str">
            <v>Projections</v>
          </cell>
          <cell r="Y33">
            <v>0</v>
          </cell>
          <cell r="Z33">
            <v>0</v>
          </cell>
          <cell r="AA33">
            <v>0</v>
          </cell>
        </row>
        <row r="34">
          <cell r="D34">
            <v>39813</v>
          </cell>
          <cell r="E34">
            <v>40178</v>
          </cell>
          <cell r="F34">
            <v>40543</v>
          </cell>
          <cell r="G34">
            <v>0</v>
          </cell>
          <cell r="I34">
            <v>39813</v>
          </cell>
          <cell r="J34">
            <v>40178</v>
          </cell>
          <cell r="K34">
            <v>40543</v>
          </cell>
          <cell r="L34">
            <v>0</v>
          </cell>
          <cell r="N34">
            <v>39813</v>
          </cell>
          <cell r="O34">
            <v>40178</v>
          </cell>
          <cell r="P34">
            <v>40543</v>
          </cell>
          <cell r="Q34">
            <v>0</v>
          </cell>
          <cell r="S34">
            <v>39813</v>
          </cell>
          <cell r="T34">
            <v>40178</v>
          </cell>
          <cell r="U34">
            <v>40543</v>
          </cell>
          <cell r="V34">
            <v>0</v>
          </cell>
          <cell r="X34">
            <v>39813</v>
          </cell>
          <cell r="Y34">
            <v>40178</v>
          </cell>
          <cell r="Z34">
            <v>40543</v>
          </cell>
          <cell r="AA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 t="str">
            <v>CS</v>
          </cell>
          <cell r="I35">
            <v>0</v>
          </cell>
          <cell r="J35">
            <v>0</v>
          </cell>
          <cell r="K35">
            <v>0</v>
          </cell>
          <cell r="L35" t="str">
            <v>CS</v>
          </cell>
          <cell r="N35">
            <v>0</v>
          </cell>
          <cell r="O35">
            <v>0</v>
          </cell>
          <cell r="P35">
            <v>0</v>
          </cell>
          <cell r="Q35" t="str">
            <v>Canaccord</v>
          </cell>
          <cell r="S35">
            <v>0</v>
          </cell>
          <cell r="T35">
            <v>0</v>
          </cell>
          <cell r="U35">
            <v>0</v>
          </cell>
          <cell r="V35" t="str">
            <v>Oppenh.</v>
          </cell>
          <cell r="X35">
            <v>0</v>
          </cell>
          <cell r="Y35">
            <v>0</v>
          </cell>
          <cell r="Z35">
            <v>0</v>
          </cell>
          <cell r="AA35" t="str">
            <v>N/A</v>
          </cell>
        </row>
        <row r="36">
          <cell r="D36">
            <v>0</v>
          </cell>
          <cell r="E36">
            <v>0</v>
          </cell>
          <cell r="F36">
            <v>0</v>
          </cell>
          <cell r="G36" t="str">
            <v>3.26.08</v>
          </cell>
          <cell r="I36">
            <v>0</v>
          </cell>
          <cell r="J36">
            <v>0</v>
          </cell>
          <cell r="K36">
            <v>0</v>
          </cell>
          <cell r="L36" t="str">
            <v>3.11.08</v>
          </cell>
          <cell r="N36">
            <v>0</v>
          </cell>
          <cell r="O36">
            <v>0</v>
          </cell>
          <cell r="P36">
            <v>0</v>
          </cell>
          <cell r="Q36" t="str">
            <v>3.17.08</v>
          </cell>
          <cell r="S36">
            <v>0</v>
          </cell>
          <cell r="T36">
            <v>0</v>
          </cell>
          <cell r="U36">
            <v>0</v>
          </cell>
          <cell r="V36" t="str">
            <v>3.4.08</v>
          </cell>
          <cell r="X36">
            <v>0</v>
          </cell>
          <cell r="Y36">
            <v>0</v>
          </cell>
          <cell r="Z36">
            <v>0</v>
          </cell>
          <cell r="AA36" t="str">
            <v>N/A</v>
          </cell>
        </row>
        <row r="37">
          <cell r="D37">
            <v>17212.3</v>
          </cell>
          <cell r="E37">
            <v>23582.799999999999</v>
          </cell>
          <cell r="F37" t="str">
            <v>N/A</v>
          </cell>
          <cell r="G37">
            <v>0</v>
          </cell>
          <cell r="I37">
            <v>8674</v>
          </cell>
          <cell r="J37">
            <v>9977.9</v>
          </cell>
          <cell r="K37" t="str">
            <v>N/A</v>
          </cell>
          <cell r="L37">
            <v>0</v>
          </cell>
          <cell r="N37">
            <v>19258</v>
          </cell>
          <cell r="O37">
            <v>23102</v>
          </cell>
          <cell r="P37" t="str">
            <v>N/A</v>
          </cell>
          <cell r="Q37">
            <v>0</v>
          </cell>
          <cell r="S37">
            <v>6817.4</v>
          </cell>
          <cell r="T37">
            <v>7462.5</v>
          </cell>
          <cell r="U37" t="str">
            <v>N/A</v>
          </cell>
          <cell r="V37">
            <v>0</v>
          </cell>
          <cell r="X37">
            <v>5800.6792722400005</v>
          </cell>
          <cell r="Y37">
            <v>6499.7832878501285</v>
          </cell>
          <cell r="Z37">
            <v>7217.2457674924335</v>
          </cell>
          <cell r="AA37">
            <v>0</v>
          </cell>
        </row>
        <row r="38">
          <cell r="D38">
            <v>10118</v>
          </cell>
          <cell r="E38">
            <v>13567</v>
          </cell>
          <cell r="F38" t="str">
            <v>N/A</v>
          </cell>
          <cell r="G38">
            <v>0</v>
          </cell>
          <cell r="I38">
            <v>3135.2</v>
          </cell>
          <cell r="J38">
            <v>3645.8</v>
          </cell>
          <cell r="K38" t="str">
            <v>N/A</v>
          </cell>
          <cell r="L38">
            <v>0</v>
          </cell>
          <cell r="N38">
            <v>1407</v>
          </cell>
          <cell r="O38">
            <v>1783</v>
          </cell>
          <cell r="P38" t="str">
            <v>N/A</v>
          </cell>
          <cell r="Q38">
            <v>0</v>
          </cell>
          <cell r="S38">
            <v>890.072</v>
          </cell>
          <cell r="T38">
            <v>1047.8820000000001</v>
          </cell>
          <cell r="U38" t="str">
            <v>N/A</v>
          </cell>
          <cell r="V38">
            <v>0</v>
          </cell>
          <cell r="X38">
            <v>2044.8728779244573</v>
          </cell>
          <cell r="Y38">
            <v>2194.3259206832022</v>
          </cell>
          <cell r="Z38">
            <v>2379.5092743993891</v>
          </cell>
          <cell r="AA38">
            <v>0</v>
          </cell>
        </row>
        <row r="39">
          <cell r="D39">
            <v>8674</v>
          </cell>
          <cell r="E39">
            <v>11422</v>
          </cell>
          <cell r="F39" t="str">
            <v>N/A</v>
          </cell>
          <cell r="G39">
            <v>0</v>
          </cell>
          <cell r="I39">
            <v>2734.9</v>
          </cell>
          <cell r="J39">
            <v>3139.6</v>
          </cell>
          <cell r="K39" t="str">
            <v>N/A</v>
          </cell>
          <cell r="L39">
            <v>0</v>
          </cell>
          <cell r="N39">
            <v>1148</v>
          </cell>
          <cell r="O39">
            <v>1497</v>
          </cell>
          <cell r="P39" t="str">
            <v>N/A</v>
          </cell>
          <cell r="Q39">
            <v>0</v>
          </cell>
          <cell r="S39">
            <v>443.14400000000001</v>
          </cell>
          <cell r="T39">
            <v>578.88200000000006</v>
          </cell>
          <cell r="U39" t="str">
            <v>N/A</v>
          </cell>
          <cell r="V39">
            <v>0</v>
          </cell>
          <cell r="X39">
            <v>1432.8207579244572</v>
          </cell>
          <cell r="Y39">
            <v>1578.32069072897</v>
          </cell>
          <cell r="Z39">
            <v>1671.0582269896497</v>
          </cell>
          <cell r="AA39">
            <v>0</v>
          </cell>
        </row>
        <row r="40">
          <cell r="D40">
            <v>21.16</v>
          </cell>
          <cell r="E40">
            <v>26.93</v>
          </cell>
          <cell r="F40" t="str">
            <v>N/A</v>
          </cell>
          <cell r="G40">
            <v>0</v>
          </cell>
          <cell r="I40">
            <v>1.65</v>
          </cell>
          <cell r="J40">
            <v>1.94</v>
          </cell>
          <cell r="K40" t="str">
            <v>N/A</v>
          </cell>
          <cell r="L40">
            <v>0</v>
          </cell>
          <cell r="N40">
            <v>1.86</v>
          </cell>
          <cell r="O40">
            <v>2.4</v>
          </cell>
          <cell r="P40" t="str">
            <v>N/A</v>
          </cell>
          <cell r="Q40">
            <v>0</v>
          </cell>
          <cell r="S40">
            <v>1.61</v>
          </cell>
          <cell r="T40">
            <v>1.97</v>
          </cell>
          <cell r="U40" t="str">
            <v>N/A</v>
          </cell>
          <cell r="V40">
            <v>0</v>
          </cell>
          <cell r="X40">
            <v>0.85927835704476285</v>
          </cell>
          <cell r="Y40">
            <v>0.86938385434911991</v>
          </cell>
          <cell r="Z40">
            <v>0.89630839110580873</v>
          </cell>
          <cell r="AA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D42" t="str">
            <v>Diluted Shares Calculation</v>
          </cell>
          <cell r="E42">
            <v>0</v>
          </cell>
          <cell r="F42">
            <v>0</v>
          </cell>
          <cell r="G42">
            <v>0</v>
          </cell>
          <cell r="I42" t="str">
            <v>Diluted Shares Calculation</v>
          </cell>
          <cell r="J42">
            <v>0</v>
          </cell>
          <cell r="K42">
            <v>0</v>
          </cell>
          <cell r="L42">
            <v>0</v>
          </cell>
          <cell r="N42" t="str">
            <v>Diluted Shares Calculation</v>
          </cell>
          <cell r="O42">
            <v>0</v>
          </cell>
          <cell r="P42">
            <v>0</v>
          </cell>
          <cell r="Q42">
            <v>0</v>
          </cell>
          <cell r="S42" t="str">
            <v>Diluted Shares Calculation</v>
          </cell>
          <cell r="T42">
            <v>0</v>
          </cell>
          <cell r="U42">
            <v>0</v>
          </cell>
          <cell r="V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548.27</v>
          </cell>
          <cell r="I43">
            <v>0</v>
          </cell>
          <cell r="J43">
            <v>0</v>
          </cell>
          <cell r="K43">
            <v>0</v>
          </cell>
          <cell r="L43">
            <v>26.3</v>
          </cell>
          <cell r="N43">
            <v>0</v>
          </cell>
          <cell r="O43">
            <v>0</v>
          </cell>
          <cell r="P43">
            <v>0</v>
          </cell>
          <cell r="Q43">
            <v>74.209999999999994</v>
          </cell>
          <cell r="S43">
            <v>0</v>
          </cell>
          <cell r="T43">
            <v>0</v>
          </cell>
          <cell r="U43">
            <v>0</v>
          </cell>
          <cell r="V43">
            <v>50.88</v>
          </cell>
          <cell r="X43">
            <v>0</v>
          </cell>
          <cell r="Y43">
            <v>0</v>
          </cell>
          <cell r="Z43">
            <v>0</v>
          </cell>
          <cell r="AA43">
            <v>19.05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313.37888800000002</v>
          </cell>
          <cell r="I44">
            <v>0</v>
          </cell>
          <cell r="J44">
            <v>0</v>
          </cell>
          <cell r="K44">
            <v>0</v>
          </cell>
          <cell r="L44">
            <v>1327.9471149999999</v>
          </cell>
          <cell r="N44">
            <v>0</v>
          </cell>
          <cell r="O44">
            <v>0</v>
          </cell>
          <cell r="P44">
            <v>0</v>
          </cell>
          <cell r="Q44">
            <v>416.81769000000003</v>
          </cell>
          <cell r="S44">
            <v>0</v>
          </cell>
          <cell r="T44">
            <v>0</v>
          </cell>
          <cell r="U44">
            <v>0</v>
          </cell>
          <cell r="V44">
            <v>277.99080800000002</v>
          </cell>
          <cell r="X44">
            <v>0</v>
          </cell>
          <cell r="Y44">
            <v>0</v>
          </cell>
          <cell r="Z44">
            <v>0</v>
          </cell>
          <cell r="AA44">
            <v>1337.165049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D46">
            <v>0</v>
          </cell>
          <cell r="E46" t="str">
            <v>Total</v>
          </cell>
          <cell r="F46" t="str">
            <v>Strike</v>
          </cell>
          <cell r="G46" t="str">
            <v>Dilution</v>
          </cell>
          <cell r="I46">
            <v>0</v>
          </cell>
          <cell r="J46" t="str">
            <v>Total</v>
          </cell>
          <cell r="K46" t="str">
            <v>Strike</v>
          </cell>
          <cell r="L46" t="str">
            <v>Dilution</v>
          </cell>
          <cell r="N46">
            <v>0</v>
          </cell>
          <cell r="O46" t="str">
            <v>Total</v>
          </cell>
          <cell r="P46" t="str">
            <v>Strike</v>
          </cell>
          <cell r="Q46" t="str">
            <v>Dilution</v>
          </cell>
          <cell r="S46">
            <v>0</v>
          </cell>
          <cell r="T46" t="str">
            <v>Total</v>
          </cell>
          <cell r="U46" t="str">
            <v>Strike</v>
          </cell>
          <cell r="V46" t="str">
            <v>Dilution</v>
          </cell>
          <cell r="X46">
            <v>0</v>
          </cell>
          <cell r="Y46" t="str">
            <v>Total</v>
          </cell>
          <cell r="Z46" t="str">
            <v>Strike</v>
          </cell>
          <cell r="AA46" t="str">
            <v>Dilution</v>
          </cell>
        </row>
        <row r="47">
          <cell r="D47">
            <v>0</v>
          </cell>
          <cell r="E47">
            <v>2.2786330000000001</v>
          </cell>
          <cell r="F47">
            <v>18.07</v>
          </cell>
          <cell r="G47">
            <v>2.2035333259160632</v>
          </cell>
          <cell r="I47">
            <v>0</v>
          </cell>
          <cell r="J47">
            <v>117.86199999999999</v>
          </cell>
          <cell r="K47">
            <v>32.450000000000003</v>
          </cell>
          <cell r="L47">
            <v>0</v>
          </cell>
          <cell r="N47">
            <v>0</v>
          </cell>
          <cell r="O47">
            <v>18.182309999999973</v>
          </cell>
          <cell r="P47">
            <v>17.46</v>
          </cell>
          <cell r="Q47">
            <v>13.904407660692607</v>
          </cell>
          <cell r="S47">
            <v>0</v>
          </cell>
          <cell r="T47">
            <v>0.91200000000000003</v>
          </cell>
          <cell r="U47">
            <v>6.05</v>
          </cell>
          <cell r="V47">
            <v>0.80355660377358495</v>
          </cell>
          <cell r="X47">
            <v>0</v>
          </cell>
          <cell r="Y47">
            <v>180.39699999999999</v>
          </cell>
          <cell r="Z47">
            <v>29.36</v>
          </cell>
          <cell r="AA47">
            <v>0</v>
          </cell>
        </row>
        <row r="48">
          <cell r="D48">
            <v>0</v>
          </cell>
          <cell r="E48">
            <v>1.678669</v>
          </cell>
          <cell r="F48">
            <v>176.42</v>
          </cell>
          <cell r="G48">
            <v>1.138513994291134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T48">
            <v>1.6779999999999999</v>
          </cell>
          <cell r="U48">
            <v>14.64</v>
          </cell>
          <cell r="V48">
            <v>1.1951792452830188</v>
          </cell>
          <cell r="X48">
            <v>0</v>
          </cell>
          <cell r="Y48">
            <v>36.567219512195123</v>
          </cell>
          <cell r="Z48">
            <v>22.55</v>
          </cell>
          <cell r="AA48">
            <v>0</v>
          </cell>
        </row>
        <row r="49">
          <cell r="D49">
            <v>0</v>
          </cell>
          <cell r="E49">
            <v>1.3914390000000001</v>
          </cell>
          <cell r="F49">
            <v>274.52</v>
          </cell>
          <cell r="G49">
            <v>0.69474241933718794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  <cell r="T49">
            <v>3.4550000000000001</v>
          </cell>
          <cell r="U49">
            <v>25.18</v>
          </cell>
          <cell r="V49">
            <v>1.7451552672955977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D50">
            <v>0</v>
          </cell>
          <cell r="E50">
            <v>1.7895179999999999</v>
          </cell>
          <cell r="F50">
            <v>329.55</v>
          </cell>
          <cell r="G50">
            <v>0.71388800583654044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S50">
            <v>0</v>
          </cell>
          <cell r="T50">
            <v>4.0270000000000001</v>
          </cell>
          <cell r="U50">
            <v>34.28</v>
          </cell>
          <cell r="V50">
            <v>1.3138404088050311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D51">
            <v>0</v>
          </cell>
          <cell r="E51">
            <v>1.469211</v>
          </cell>
          <cell r="F51">
            <v>449.9</v>
          </cell>
          <cell r="G51">
            <v>0.26360422067594436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1.8660000000000001</v>
          </cell>
          <cell r="U51">
            <v>47.39</v>
          </cell>
          <cell r="V51">
            <v>0.127994103773585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D52">
            <v>0</v>
          </cell>
          <cell r="E52">
            <v>3.7215069999999999</v>
          </cell>
          <cell r="F52">
            <v>556.91999999999996</v>
          </cell>
          <cell r="G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  <cell r="T52">
            <v>0.06</v>
          </cell>
          <cell r="U52">
            <v>51.23</v>
          </cell>
          <cell r="V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D53">
            <v>0</v>
          </cell>
          <cell r="E53">
            <v>0.15057699999999999</v>
          </cell>
          <cell r="F53">
            <v>663.13</v>
          </cell>
          <cell r="G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S53">
            <v>0</v>
          </cell>
          <cell r="T53">
            <v>0.01</v>
          </cell>
          <cell r="U53">
            <v>68.180000000000007</v>
          </cell>
          <cell r="V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D54">
            <v>0</v>
          </cell>
          <cell r="E54">
            <v>5.2652999999999998E-2</v>
          </cell>
          <cell r="F54">
            <v>718.16</v>
          </cell>
          <cell r="G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S54">
            <v>0</v>
          </cell>
          <cell r="T54">
            <v>2E-3</v>
          </cell>
          <cell r="U54">
            <v>71.91</v>
          </cell>
          <cell r="V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0</v>
          </cell>
          <cell r="T55">
            <v>2.4E-2</v>
          </cell>
          <cell r="U55">
            <v>102.12</v>
          </cell>
          <cell r="V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318.39316996605692</v>
          </cell>
          <cell r="I56">
            <v>0</v>
          </cell>
          <cell r="J56">
            <v>0</v>
          </cell>
          <cell r="K56">
            <v>0</v>
          </cell>
          <cell r="L56">
            <v>1327.9471149999999</v>
          </cell>
          <cell r="N56">
            <v>0</v>
          </cell>
          <cell r="O56">
            <v>0</v>
          </cell>
          <cell r="P56">
            <v>0</v>
          </cell>
          <cell r="Q56">
            <v>430.72209766069261</v>
          </cell>
          <cell r="S56">
            <v>0</v>
          </cell>
          <cell r="T56">
            <v>0</v>
          </cell>
          <cell r="U56">
            <v>0</v>
          </cell>
          <cell r="V56">
            <v>283.17653362893083</v>
          </cell>
          <cell r="X56">
            <v>0</v>
          </cell>
          <cell r="Y56">
            <v>0</v>
          </cell>
          <cell r="Z56">
            <v>0</v>
          </cell>
          <cell r="AA56">
            <v>1337.165049</v>
          </cell>
        </row>
        <row r="57">
          <cell r="D57">
            <v>0</v>
          </cell>
          <cell r="G57">
            <v>0</v>
          </cell>
          <cell r="I57">
            <v>0</v>
          </cell>
          <cell r="L57">
            <v>0</v>
          </cell>
          <cell r="N57">
            <v>0</v>
          </cell>
          <cell r="Q57">
            <v>0</v>
          </cell>
          <cell r="S57">
            <v>0</v>
          </cell>
          <cell r="V57">
            <v>0</v>
          </cell>
          <cell r="X57">
            <v>0</v>
          </cell>
          <cell r="AA57">
            <v>0</v>
          </cell>
        </row>
        <row r="58">
          <cell r="D58" t="str">
            <v>Valuation Metrics</v>
          </cell>
          <cell r="E58">
            <v>0</v>
          </cell>
          <cell r="F58">
            <v>0</v>
          </cell>
          <cell r="G58">
            <v>0</v>
          </cell>
          <cell r="I58" t="str">
            <v>Valuation Metrics</v>
          </cell>
          <cell r="J58">
            <v>0</v>
          </cell>
          <cell r="K58">
            <v>0</v>
          </cell>
          <cell r="L58">
            <v>0</v>
          </cell>
          <cell r="N58" t="str">
            <v>Valuation Metrics</v>
          </cell>
          <cell r="O58">
            <v>0</v>
          </cell>
          <cell r="P58">
            <v>0</v>
          </cell>
          <cell r="Q58">
            <v>0</v>
          </cell>
          <cell r="S58" t="str">
            <v>Valuation Metrics</v>
          </cell>
          <cell r="T58">
            <v>0</v>
          </cell>
          <cell r="U58">
            <v>0</v>
          </cell>
          <cell r="V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174565.42329729002</v>
          </cell>
          <cell r="I60">
            <v>0</v>
          </cell>
          <cell r="J60">
            <v>0</v>
          </cell>
          <cell r="K60">
            <v>0</v>
          </cell>
          <cell r="L60">
            <v>34925.0091245</v>
          </cell>
          <cell r="N60">
            <v>0</v>
          </cell>
          <cell r="O60">
            <v>0</v>
          </cell>
          <cell r="P60">
            <v>0</v>
          </cell>
          <cell r="Q60">
            <v>31963.886867399997</v>
          </cell>
          <cell r="S60">
            <v>0</v>
          </cell>
          <cell r="T60">
            <v>0</v>
          </cell>
          <cell r="U60">
            <v>0</v>
          </cell>
          <cell r="V60">
            <v>14408.022031040002</v>
          </cell>
          <cell r="X60">
            <v>0</v>
          </cell>
          <cell r="Y60">
            <v>0</v>
          </cell>
          <cell r="Z60">
            <v>0</v>
          </cell>
          <cell r="AA60">
            <v>25472.994183449999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159287.11629729002</v>
          </cell>
          <cell r="I61">
            <v>0</v>
          </cell>
          <cell r="J61">
            <v>0</v>
          </cell>
          <cell r="K61">
            <v>0</v>
          </cell>
          <cell r="L61">
            <v>29889.317124500001</v>
          </cell>
          <cell r="N61">
            <v>0</v>
          </cell>
          <cell r="O61">
            <v>0</v>
          </cell>
          <cell r="P61">
            <v>0</v>
          </cell>
          <cell r="Q61">
            <v>30150.886867399997</v>
          </cell>
          <cell r="S61">
            <v>0</v>
          </cell>
          <cell r="T61">
            <v>0</v>
          </cell>
          <cell r="U61">
            <v>0</v>
          </cell>
          <cell r="V61">
            <v>13008.817031040002</v>
          </cell>
          <cell r="X61">
            <v>0</v>
          </cell>
          <cell r="Y61">
            <v>0</v>
          </cell>
          <cell r="Z61">
            <v>0</v>
          </cell>
          <cell r="AA61">
            <v>18509.098078758339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1.29</v>
          </cell>
          <cell r="I62">
            <v>0</v>
          </cell>
          <cell r="J62">
            <v>0</v>
          </cell>
          <cell r="K62">
            <v>0</v>
          </cell>
          <cell r="L62">
            <v>1.96</v>
          </cell>
          <cell r="N62">
            <v>0</v>
          </cell>
          <cell r="O62">
            <v>0</v>
          </cell>
          <cell r="P62">
            <v>0</v>
          </cell>
          <cell r="Q62">
            <v>1.28</v>
          </cell>
          <cell r="S62">
            <v>0</v>
          </cell>
          <cell r="T62">
            <v>0</v>
          </cell>
          <cell r="U62">
            <v>0</v>
          </cell>
          <cell r="V62">
            <v>0.8</v>
          </cell>
          <cell r="X62">
            <v>0</v>
          </cell>
          <cell r="Y62">
            <v>0</v>
          </cell>
          <cell r="Z62">
            <v>0</v>
          </cell>
          <cell r="AA62">
            <v>1.39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D64" t="str">
            <v>Valuation Multiples</v>
          </cell>
          <cell r="E64">
            <v>0</v>
          </cell>
          <cell r="F64">
            <v>0</v>
          </cell>
          <cell r="G64">
            <v>0</v>
          </cell>
          <cell r="I64" t="str">
            <v>Valuation Multiples</v>
          </cell>
          <cell r="J64">
            <v>0</v>
          </cell>
          <cell r="K64">
            <v>0</v>
          </cell>
          <cell r="L64">
            <v>0</v>
          </cell>
          <cell r="N64" t="str">
            <v>Valuation Multiples</v>
          </cell>
          <cell r="O64">
            <v>0</v>
          </cell>
          <cell r="P64">
            <v>0</v>
          </cell>
          <cell r="Q64">
            <v>0</v>
          </cell>
          <cell r="S64" t="str">
            <v>Valuation Multiples</v>
          </cell>
          <cell r="T64">
            <v>0</v>
          </cell>
          <cell r="U64">
            <v>0</v>
          </cell>
          <cell r="V64">
            <v>0</v>
          </cell>
          <cell r="X64" t="str">
            <v>Valuation Multiples</v>
          </cell>
          <cell r="Y64">
            <v>0</v>
          </cell>
          <cell r="Z64">
            <v>0</v>
          </cell>
          <cell r="AA64">
            <v>0</v>
          </cell>
        </row>
        <row r="65">
          <cell r="D65" t="str">
            <v>TTM</v>
          </cell>
          <cell r="E65">
            <v>39813</v>
          </cell>
          <cell r="F65">
            <v>40178</v>
          </cell>
          <cell r="G65">
            <v>40543</v>
          </cell>
          <cell r="I65" t="str">
            <v>TTM</v>
          </cell>
          <cell r="J65">
            <v>39813</v>
          </cell>
          <cell r="K65">
            <v>40178</v>
          </cell>
          <cell r="L65">
            <v>40543</v>
          </cell>
          <cell r="N65" t="str">
            <v>TTM</v>
          </cell>
          <cell r="O65">
            <v>39813</v>
          </cell>
          <cell r="P65">
            <v>40178</v>
          </cell>
          <cell r="Q65">
            <v>40543</v>
          </cell>
          <cell r="S65" t="str">
            <v>TTM</v>
          </cell>
          <cell r="T65">
            <v>39813</v>
          </cell>
          <cell r="U65">
            <v>40178</v>
          </cell>
          <cell r="V65">
            <v>40543</v>
          </cell>
          <cell r="X65" t="str">
            <v>TTM</v>
          </cell>
          <cell r="Y65">
            <v>39813</v>
          </cell>
          <cell r="Z65">
            <v>40178</v>
          </cell>
          <cell r="AA65">
            <v>40543</v>
          </cell>
        </row>
        <row r="66">
          <cell r="D66">
            <v>13.660886917754295</v>
          </cell>
          <cell r="E66">
            <v>9.2542609818147508</v>
          </cell>
          <cell r="F66">
            <v>6.7543767617623871</v>
          </cell>
          <cell r="G66" t="str">
            <v>N/A</v>
          </cell>
          <cell r="I66">
            <v>3.8957293312760704</v>
          </cell>
          <cell r="J66">
            <v>3.4458516399008534</v>
          </cell>
          <cell r="K66">
            <v>2.9955518821094622</v>
          </cell>
          <cell r="L66" t="str">
            <v>N/A</v>
          </cell>
          <cell r="N66">
            <v>2.0324156971621163</v>
          </cell>
          <cell r="O66">
            <v>1.5656291861771729</v>
          </cell>
          <cell r="P66">
            <v>1.305120200303004</v>
          </cell>
          <cell r="Q66" t="str">
            <v>N/A</v>
          </cell>
          <cell r="S66">
            <v>2.0411078262719649</v>
          </cell>
          <cell r="T66">
            <v>1.908178635702761</v>
          </cell>
          <cell r="U66">
            <v>1.7432250627859298</v>
          </cell>
          <cell r="V66" t="str">
            <v>N/A</v>
          </cell>
          <cell r="X66">
            <v>3.6203104970958528</v>
          </cell>
          <cell r="Y66">
            <v>3.1908501073893771</v>
          </cell>
          <cell r="Z66">
            <v>2.8476484921207916</v>
          </cell>
          <cell r="AA66">
            <v>2.564565303030987</v>
          </cell>
        </row>
        <row r="67">
          <cell r="D67">
            <v>23.016027892146514</v>
          </cell>
          <cell r="E67">
            <v>15.742944880143311</v>
          </cell>
          <cell r="F67">
            <v>11.740776612168499</v>
          </cell>
          <cell r="G67" t="str">
            <v>N/A</v>
          </cell>
          <cell r="I67">
            <v>10.279586772665647</v>
          </cell>
          <cell r="J67">
            <v>9.5334642525197761</v>
          </cell>
          <cell r="K67">
            <v>8.1982876527785393</v>
          </cell>
          <cell r="L67" t="str">
            <v>N/A</v>
          </cell>
          <cell r="N67">
            <v>27.535056499908674</v>
          </cell>
          <cell r="O67">
            <v>21.429201753660269</v>
          </cell>
          <cell r="P67">
            <v>16.910200149971956</v>
          </cell>
          <cell r="Q67" t="str">
            <v>N/A</v>
          </cell>
          <cell r="S67">
            <v>15.930015479652194</v>
          </cell>
          <cell r="T67">
            <v>14.615465974707666</v>
          </cell>
          <cell r="U67">
            <v>12.414391153813121</v>
          </cell>
          <cell r="V67" t="str">
            <v>N/A</v>
          </cell>
          <cell r="X67">
            <v>9.604967052350057</v>
          </cell>
          <cell r="Y67">
            <v>9.0514663667235116</v>
          </cell>
          <cell r="Z67">
            <v>8.4349812870986565</v>
          </cell>
          <cell r="AA67">
            <v>7.7785358005928398</v>
          </cell>
        </row>
        <row r="68">
          <cell r="D68">
            <v>26.757246004363136</v>
          </cell>
          <cell r="E68">
            <v>18.363744096989858</v>
          </cell>
          <cell r="F68">
            <v>13.945641419829279</v>
          </cell>
          <cell r="G68" t="str">
            <v>N/A</v>
          </cell>
          <cell r="I68">
            <v>12.961930397960735</v>
          </cell>
          <cell r="J68">
            <v>10.92885192310505</v>
          </cell>
          <cell r="K68">
            <v>9.5201035560262461</v>
          </cell>
          <cell r="L68" t="str">
            <v>N/A</v>
          </cell>
          <cell r="N68">
            <v>35.513412093521787</v>
          </cell>
          <cell r="O68">
            <v>26.263838734668987</v>
          </cell>
          <cell r="P68">
            <v>20.140872990915163</v>
          </cell>
          <cell r="Q68" t="str">
            <v>N/A</v>
          </cell>
          <cell r="S68">
            <v>28.665652364944126</v>
          </cell>
          <cell r="T68">
            <v>29.355733195169069</v>
          </cell>
          <cell r="U68">
            <v>22.472312200137509</v>
          </cell>
          <cell r="V68" t="str">
            <v>N/A</v>
          </cell>
          <cell r="X68">
            <v>14.598934153909395</v>
          </cell>
          <cell r="Y68">
            <v>12.917943836582941</v>
          </cell>
          <cell r="Z68">
            <v>11.727083214127825</v>
          </cell>
          <cell r="AA68">
            <v>11.07627357312486</v>
          </cell>
        </row>
        <row r="69">
          <cell r="D69">
            <v>40.068712699875825</v>
          </cell>
          <cell r="E69">
            <v>25.910680529300567</v>
          </cell>
          <cell r="F69">
            <v>20.359079093947269</v>
          </cell>
          <cell r="G69" t="str">
            <v>N/A</v>
          </cell>
          <cell r="I69">
            <v>20.293334406637868</v>
          </cell>
          <cell r="J69">
            <v>15.939393939393941</v>
          </cell>
          <cell r="K69">
            <v>13.556701030927837</v>
          </cell>
          <cell r="L69" t="str">
            <v>N/A</v>
          </cell>
          <cell r="N69">
            <v>50.025646556694568</v>
          </cell>
          <cell r="O69">
            <v>39.897849462365585</v>
          </cell>
          <cell r="P69">
            <v>30.920833333333331</v>
          </cell>
          <cell r="Q69" t="str">
            <v>N/A</v>
          </cell>
          <cell r="S69">
            <v>29.370473425989786</v>
          </cell>
          <cell r="T69">
            <v>31.602484472049689</v>
          </cell>
          <cell r="U69">
            <v>25.827411167512693</v>
          </cell>
          <cell r="V69" t="str">
            <v>N/A</v>
          </cell>
          <cell r="X69">
            <v>22.134138998436278</v>
          </cell>
          <cell r="Y69">
            <v>22.169765878331809</v>
          </cell>
          <cell r="Z69">
            <v>21.912070145657502</v>
          </cell>
          <cell r="AA69">
            <v>21.253845427573552</v>
          </cell>
        </row>
        <row r="70">
          <cell r="D70">
            <v>0</v>
          </cell>
          <cell r="G70">
            <v>0</v>
          </cell>
          <cell r="I70">
            <v>0</v>
          </cell>
          <cell r="L70">
            <v>0</v>
          </cell>
          <cell r="N70">
            <v>0</v>
          </cell>
          <cell r="Q70">
            <v>0</v>
          </cell>
          <cell r="S70">
            <v>0</v>
          </cell>
          <cell r="V70">
            <v>0</v>
          </cell>
          <cell r="X70">
            <v>0</v>
          </cell>
          <cell r="AA70">
            <v>0</v>
          </cell>
        </row>
        <row r="71">
          <cell r="D71" t="str">
            <v>Lookup Variables</v>
          </cell>
          <cell r="E71">
            <v>0</v>
          </cell>
          <cell r="F71">
            <v>0</v>
          </cell>
          <cell r="G71">
            <v>0</v>
          </cell>
          <cell r="I71" t="str">
            <v>Lookup Variables</v>
          </cell>
          <cell r="J71">
            <v>0</v>
          </cell>
          <cell r="K71">
            <v>0</v>
          </cell>
          <cell r="L71">
            <v>0</v>
          </cell>
          <cell r="N71" t="str">
            <v>Lookup Variables</v>
          </cell>
          <cell r="O71">
            <v>0</v>
          </cell>
          <cell r="P71">
            <v>0</v>
          </cell>
          <cell r="Q71">
            <v>0</v>
          </cell>
          <cell r="S71" t="str">
            <v>Lookup Variables</v>
          </cell>
          <cell r="T71">
            <v>0</v>
          </cell>
          <cell r="U71">
            <v>0</v>
          </cell>
          <cell r="V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17212.3</v>
          </cell>
          <cell r="I73">
            <v>0</v>
          </cell>
          <cell r="J73">
            <v>0</v>
          </cell>
          <cell r="K73">
            <v>0</v>
          </cell>
          <cell r="L73">
            <v>8674</v>
          </cell>
          <cell r="N73">
            <v>0</v>
          </cell>
          <cell r="O73">
            <v>0</v>
          </cell>
          <cell r="P73">
            <v>0</v>
          </cell>
          <cell r="Q73">
            <v>19258</v>
          </cell>
          <cell r="S73">
            <v>0</v>
          </cell>
          <cell r="T73">
            <v>0</v>
          </cell>
          <cell r="U73">
            <v>0</v>
          </cell>
          <cell r="V73">
            <v>6817.4</v>
          </cell>
          <cell r="X73">
            <v>0</v>
          </cell>
          <cell r="Y73">
            <v>0</v>
          </cell>
          <cell r="Z73">
            <v>0</v>
          </cell>
          <cell r="AA73">
            <v>5800.6792722400005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10118</v>
          </cell>
          <cell r="I74">
            <v>0</v>
          </cell>
          <cell r="J74">
            <v>0</v>
          </cell>
          <cell r="K74">
            <v>0</v>
          </cell>
          <cell r="L74">
            <v>3135.2</v>
          </cell>
          <cell r="N74">
            <v>0</v>
          </cell>
          <cell r="O74">
            <v>0</v>
          </cell>
          <cell r="P74">
            <v>0</v>
          </cell>
          <cell r="Q74">
            <v>1407</v>
          </cell>
          <cell r="S74">
            <v>0</v>
          </cell>
          <cell r="T74">
            <v>0</v>
          </cell>
          <cell r="U74">
            <v>0</v>
          </cell>
          <cell r="V74">
            <v>890.072</v>
          </cell>
          <cell r="X74">
            <v>0</v>
          </cell>
          <cell r="Y74">
            <v>0</v>
          </cell>
          <cell r="Z74">
            <v>0</v>
          </cell>
          <cell r="AA74">
            <v>2044.8728779244573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8674</v>
          </cell>
          <cell r="I75">
            <v>0</v>
          </cell>
          <cell r="J75">
            <v>0</v>
          </cell>
          <cell r="K75">
            <v>0</v>
          </cell>
          <cell r="L75">
            <v>2734.9</v>
          </cell>
          <cell r="N75">
            <v>0</v>
          </cell>
          <cell r="O75">
            <v>0</v>
          </cell>
          <cell r="P75">
            <v>0</v>
          </cell>
          <cell r="Q75">
            <v>1148</v>
          </cell>
          <cell r="S75">
            <v>0</v>
          </cell>
          <cell r="T75">
            <v>0</v>
          </cell>
          <cell r="U75">
            <v>0</v>
          </cell>
          <cell r="V75">
            <v>443.14400000000001</v>
          </cell>
          <cell r="X75">
            <v>0</v>
          </cell>
          <cell r="Y75">
            <v>0</v>
          </cell>
          <cell r="Z75">
            <v>0</v>
          </cell>
          <cell r="AA75">
            <v>1432.8207579244572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21.16</v>
          </cell>
          <cell r="I76">
            <v>0</v>
          </cell>
          <cell r="J76">
            <v>0</v>
          </cell>
          <cell r="K76">
            <v>0</v>
          </cell>
          <cell r="L76">
            <v>1.65</v>
          </cell>
          <cell r="N76">
            <v>0</v>
          </cell>
          <cell r="O76">
            <v>0</v>
          </cell>
          <cell r="P76">
            <v>0</v>
          </cell>
          <cell r="Q76">
            <v>1.86</v>
          </cell>
          <cell r="S76">
            <v>0</v>
          </cell>
          <cell r="T76">
            <v>0</v>
          </cell>
          <cell r="U76">
            <v>0</v>
          </cell>
          <cell r="V76">
            <v>1.61</v>
          </cell>
          <cell r="X76">
            <v>0</v>
          </cell>
          <cell r="Y76">
            <v>0</v>
          </cell>
          <cell r="Z76">
            <v>0</v>
          </cell>
          <cell r="AA76">
            <v>0.85927835704476285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23582.799999999999</v>
          </cell>
          <cell r="I78">
            <v>0</v>
          </cell>
          <cell r="J78">
            <v>0</v>
          </cell>
          <cell r="K78">
            <v>0</v>
          </cell>
          <cell r="L78">
            <v>9977.9</v>
          </cell>
          <cell r="N78">
            <v>0</v>
          </cell>
          <cell r="O78">
            <v>0</v>
          </cell>
          <cell r="P78">
            <v>0</v>
          </cell>
          <cell r="Q78">
            <v>23102</v>
          </cell>
          <cell r="S78">
            <v>0</v>
          </cell>
          <cell r="T78">
            <v>0</v>
          </cell>
          <cell r="U78">
            <v>0</v>
          </cell>
          <cell r="V78">
            <v>7462.5</v>
          </cell>
          <cell r="X78">
            <v>0</v>
          </cell>
          <cell r="Y78">
            <v>0</v>
          </cell>
          <cell r="Z78">
            <v>0</v>
          </cell>
          <cell r="AA78">
            <v>6499.7832878501285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13567</v>
          </cell>
          <cell r="I79">
            <v>0</v>
          </cell>
          <cell r="J79">
            <v>0</v>
          </cell>
          <cell r="K79">
            <v>0</v>
          </cell>
          <cell r="L79">
            <v>3645.8</v>
          </cell>
          <cell r="N79">
            <v>0</v>
          </cell>
          <cell r="O79">
            <v>0</v>
          </cell>
          <cell r="P79">
            <v>0</v>
          </cell>
          <cell r="Q79">
            <v>1783</v>
          </cell>
          <cell r="S79">
            <v>0</v>
          </cell>
          <cell r="T79">
            <v>0</v>
          </cell>
          <cell r="U79">
            <v>0</v>
          </cell>
          <cell r="V79">
            <v>1047.8820000000001</v>
          </cell>
          <cell r="X79">
            <v>0</v>
          </cell>
          <cell r="Y79">
            <v>0</v>
          </cell>
          <cell r="Z79">
            <v>0</v>
          </cell>
          <cell r="AA79">
            <v>2194.3259206832022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11422</v>
          </cell>
          <cell r="I80">
            <v>0</v>
          </cell>
          <cell r="J80">
            <v>0</v>
          </cell>
          <cell r="K80">
            <v>0</v>
          </cell>
          <cell r="L80">
            <v>3139.6</v>
          </cell>
          <cell r="N80">
            <v>0</v>
          </cell>
          <cell r="O80">
            <v>0</v>
          </cell>
          <cell r="P80">
            <v>0</v>
          </cell>
          <cell r="Q80">
            <v>1497</v>
          </cell>
          <cell r="S80">
            <v>0</v>
          </cell>
          <cell r="T80">
            <v>0</v>
          </cell>
          <cell r="U80">
            <v>0</v>
          </cell>
          <cell r="V80">
            <v>578.88200000000006</v>
          </cell>
          <cell r="X80">
            <v>0</v>
          </cell>
          <cell r="Y80">
            <v>0</v>
          </cell>
          <cell r="Z80">
            <v>0</v>
          </cell>
          <cell r="AA80">
            <v>1578.32069072897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26.93</v>
          </cell>
          <cell r="I81">
            <v>0</v>
          </cell>
          <cell r="J81">
            <v>0</v>
          </cell>
          <cell r="K81">
            <v>0</v>
          </cell>
          <cell r="L81">
            <v>1.94</v>
          </cell>
          <cell r="N81">
            <v>0</v>
          </cell>
          <cell r="O81">
            <v>0</v>
          </cell>
          <cell r="P81">
            <v>0</v>
          </cell>
          <cell r="Q81">
            <v>2.4</v>
          </cell>
          <cell r="S81">
            <v>0</v>
          </cell>
          <cell r="T81">
            <v>0</v>
          </cell>
          <cell r="U81">
            <v>0</v>
          </cell>
          <cell r="V81">
            <v>1.97</v>
          </cell>
          <cell r="X81">
            <v>0</v>
          </cell>
          <cell r="Y81">
            <v>0</v>
          </cell>
          <cell r="Z81">
            <v>0</v>
          </cell>
          <cell r="AA81">
            <v>0.86938385434911991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 t="str">
            <v>N/A</v>
          </cell>
          <cell r="I83">
            <v>0</v>
          </cell>
          <cell r="J83">
            <v>0</v>
          </cell>
          <cell r="K83">
            <v>0</v>
          </cell>
          <cell r="L83" t="str">
            <v>N/A</v>
          </cell>
          <cell r="N83">
            <v>0</v>
          </cell>
          <cell r="O83">
            <v>0</v>
          </cell>
          <cell r="P83">
            <v>0</v>
          </cell>
          <cell r="Q83" t="str">
            <v>N/A</v>
          </cell>
          <cell r="S83">
            <v>0</v>
          </cell>
          <cell r="T83">
            <v>0</v>
          </cell>
          <cell r="U83">
            <v>0</v>
          </cell>
          <cell r="V83" t="str">
            <v>N/A</v>
          </cell>
          <cell r="X83">
            <v>0</v>
          </cell>
          <cell r="Y83">
            <v>0</v>
          </cell>
          <cell r="Z83">
            <v>0</v>
          </cell>
          <cell r="AA83">
            <v>7217.2457674924335</v>
          </cell>
        </row>
        <row r="84">
          <cell r="D84">
            <v>0</v>
          </cell>
          <cell r="E84">
            <v>0</v>
          </cell>
          <cell r="F84">
            <v>0</v>
          </cell>
          <cell r="G84" t="str">
            <v>N/A</v>
          </cell>
          <cell r="I84">
            <v>0</v>
          </cell>
          <cell r="J84">
            <v>0</v>
          </cell>
          <cell r="K84">
            <v>0</v>
          </cell>
          <cell r="L84" t="str">
            <v>N/A</v>
          </cell>
          <cell r="N84">
            <v>0</v>
          </cell>
          <cell r="O84">
            <v>0</v>
          </cell>
          <cell r="P84">
            <v>0</v>
          </cell>
          <cell r="Q84" t="str">
            <v>N/A</v>
          </cell>
          <cell r="S84">
            <v>0</v>
          </cell>
          <cell r="T84">
            <v>0</v>
          </cell>
          <cell r="U84">
            <v>0</v>
          </cell>
          <cell r="V84" t="str">
            <v>N/A</v>
          </cell>
          <cell r="X84">
            <v>0</v>
          </cell>
          <cell r="Y84">
            <v>0</v>
          </cell>
          <cell r="Z84">
            <v>0</v>
          </cell>
          <cell r="AA84">
            <v>2379.5092743993891</v>
          </cell>
        </row>
        <row r="85">
          <cell r="D85">
            <v>0</v>
          </cell>
          <cell r="E85">
            <v>0</v>
          </cell>
          <cell r="F85">
            <v>0</v>
          </cell>
          <cell r="G85" t="str">
            <v>N/A</v>
          </cell>
          <cell r="I85">
            <v>0</v>
          </cell>
          <cell r="J85">
            <v>0</v>
          </cell>
          <cell r="K85">
            <v>0</v>
          </cell>
          <cell r="L85" t="str">
            <v>N/A</v>
          </cell>
          <cell r="N85">
            <v>0</v>
          </cell>
          <cell r="O85">
            <v>0</v>
          </cell>
          <cell r="P85">
            <v>0</v>
          </cell>
          <cell r="Q85" t="str">
            <v>N/A</v>
          </cell>
          <cell r="S85">
            <v>0</v>
          </cell>
          <cell r="T85">
            <v>0</v>
          </cell>
          <cell r="U85">
            <v>0</v>
          </cell>
          <cell r="V85" t="str">
            <v>N/A</v>
          </cell>
          <cell r="X85">
            <v>0</v>
          </cell>
          <cell r="Y85">
            <v>0</v>
          </cell>
          <cell r="Z85">
            <v>0</v>
          </cell>
          <cell r="AA85">
            <v>1671.0582269896497</v>
          </cell>
        </row>
        <row r="86">
          <cell r="D86">
            <v>0</v>
          </cell>
          <cell r="E86">
            <v>0</v>
          </cell>
          <cell r="F86">
            <v>0</v>
          </cell>
          <cell r="G86" t="str">
            <v>N/A</v>
          </cell>
          <cell r="I86">
            <v>0</v>
          </cell>
          <cell r="J86">
            <v>0</v>
          </cell>
          <cell r="K86">
            <v>0</v>
          </cell>
          <cell r="L86" t="str">
            <v>N/A</v>
          </cell>
          <cell r="N86">
            <v>0</v>
          </cell>
          <cell r="O86">
            <v>0</v>
          </cell>
          <cell r="P86">
            <v>0</v>
          </cell>
          <cell r="Q86" t="str">
            <v>N/A</v>
          </cell>
          <cell r="S86">
            <v>0</v>
          </cell>
          <cell r="T86">
            <v>0</v>
          </cell>
          <cell r="U86">
            <v>0</v>
          </cell>
          <cell r="V86" t="str">
            <v>N/A</v>
          </cell>
          <cell r="X86">
            <v>0</v>
          </cell>
          <cell r="Y86">
            <v>0</v>
          </cell>
          <cell r="Z86">
            <v>0</v>
          </cell>
          <cell r="AA86">
            <v>0.89630839110580873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13.660886917754295</v>
          </cell>
          <cell r="I88">
            <v>0</v>
          </cell>
          <cell r="J88">
            <v>0</v>
          </cell>
          <cell r="K88">
            <v>0</v>
          </cell>
          <cell r="L88">
            <v>3.8957293312760704</v>
          </cell>
          <cell r="N88">
            <v>0</v>
          </cell>
          <cell r="O88">
            <v>0</v>
          </cell>
          <cell r="P88">
            <v>0</v>
          </cell>
          <cell r="Q88">
            <v>2.0324156971621163</v>
          </cell>
          <cell r="S88">
            <v>0</v>
          </cell>
          <cell r="T88">
            <v>0</v>
          </cell>
          <cell r="U88">
            <v>0</v>
          </cell>
          <cell r="V88">
            <v>2.0411078262719649</v>
          </cell>
          <cell r="X88">
            <v>0</v>
          </cell>
          <cell r="Y88">
            <v>0</v>
          </cell>
          <cell r="Z88">
            <v>0</v>
          </cell>
          <cell r="AA88">
            <v>3.6203104970958528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23.016027892146514</v>
          </cell>
          <cell r="I89">
            <v>0</v>
          </cell>
          <cell r="J89">
            <v>0</v>
          </cell>
          <cell r="K89">
            <v>0</v>
          </cell>
          <cell r="L89">
            <v>10.279586772665647</v>
          </cell>
          <cell r="N89">
            <v>0</v>
          </cell>
          <cell r="O89">
            <v>0</v>
          </cell>
          <cell r="P89">
            <v>0</v>
          </cell>
          <cell r="Q89">
            <v>27.535056499908674</v>
          </cell>
          <cell r="S89">
            <v>0</v>
          </cell>
          <cell r="T89">
            <v>0</v>
          </cell>
          <cell r="U89">
            <v>0</v>
          </cell>
          <cell r="V89">
            <v>15.930015479652194</v>
          </cell>
          <cell r="X89">
            <v>0</v>
          </cell>
          <cell r="Y89">
            <v>0</v>
          </cell>
          <cell r="Z89">
            <v>0</v>
          </cell>
          <cell r="AA89">
            <v>9.604967052350057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26.757246004363136</v>
          </cell>
          <cell r="I90">
            <v>0</v>
          </cell>
          <cell r="J90">
            <v>0</v>
          </cell>
          <cell r="K90">
            <v>0</v>
          </cell>
          <cell r="L90">
            <v>12.961930397960735</v>
          </cell>
          <cell r="N90">
            <v>0</v>
          </cell>
          <cell r="O90">
            <v>0</v>
          </cell>
          <cell r="P90">
            <v>0</v>
          </cell>
          <cell r="Q90">
            <v>35.513412093521787</v>
          </cell>
          <cell r="S90">
            <v>0</v>
          </cell>
          <cell r="T90">
            <v>0</v>
          </cell>
          <cell r="U90">
            <v>0</v>
          </cell>
          <cell r="V90">
            <v>28.665652364944126</v>
          </cell>
          <cell r="X90">
            <v>0</v>
          </cell>
          <cell r="Y90">
            <v>0</v>
          </cell>
          <cell r="Z90">
            <v>0</v>
          </cell>
          <cell r="AA90">
            <v>14.598934153909395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40.068712699875825</v>
          </cell>
          <cell r="I91">
            <v>0</v>
          </cell>
          <cell r="J91">
            <v>0</v>
          </cell>
          <cell r="K91">
            <v>0</v>
          </cell>
          <cell r="L91">
            <v>20.293334406637868</v>
          </cell>
          <cell r="N91">
            <v>0</v>
          </cell>
          <cell r="O91">
            <v>0</v>
          </cell>
          <cell r="P91">
            <v>0</v>
          </cell>
          <cell r="Q91">
            <v>50.025646556694568</v>
          </cell>
          <cell r="S91">
            <v>0</v>
          </cell>
          <cell r="T91">
            <v>0</v>
          </cell>
          <cell r="U91">
            <v>0</v>
          </cell>
          <cell r="V91">
            <v>29.370473425989786</v>
          </cell>
          <cell r="X91">
            <v>0</v>
          </cell>
          <cell r="Y91">
            <v>0</v>
          </cell>
          <cell r="Z91">
            <v>0</v>
          </cell>
          <cell r="AA91">
            <v>22.134138998436278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9.2542609818147508</v>
          </cell>
          <cell r="I93">
            <v>0</v>
          </cell>
          <cell r="J93">
            <v>0</v>
          </cell>
          <cell r="K93">
            <v>0</v>
          </cell>
          <cell r="L93">
            <v>3.4458516399008534</v>
          </cell>
          <cell r="N93">
            <v>0</v>
          </cell>
          <cell r="O93">
            <v>0</v>
          </cell>
          <cell r="P93">
            <v>0</v>
          </cell>
          <cell r="Q93">
            <v>1.5656291861771729</v>
          </cell>
          <cell r="S93">
            <v>0</v>
          </cell>
          <cell r="T93">
            <v>0</v>
          </cell>
          <cell r="U93">
            <v>0</v>
          </cell>
          <cell r="V93">
            <v>1.908178635702761</v>
          </cell>
          <cell r="X93">
            <v>0</v>
          </cell>
          <cell r="Y93">
            <v>0</v>
          </cell>
          <cell r="Z93">
            <v>0</v>
          </cell>
          <cell r="AA93">
            <v>3.1908501073893771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15.742944880143311</v>
          </cell>
          <cell r="I94">
            <v>0</v>
          </cell>
          <cell r="J94">
            <v>0</v>
          </cell>
          <cell r="K94">
            <v>0</v>
          </cell>
          <cell r="L94">
            <v>9.5334642525197761</v>
          </cell>
          <cell r="N94">
            <v>0</v>
          </cell>
          <cell r="O94">
            <v>0</v>
          </cell>
          <cell r="P94">
            <v>0</v>
          </cell>
          <cell r="Q94">
            <v>21.429201753660269</v>
          </cell>
          <cell r="S94">
            <v>0</v>
          </cell>
          <cell r="T94">
            <v>0</v>
          </cell>
          <cell r="U94">
            <v>0</v>
          </cell>
          <cell r="V94">
            <v>14.615465974707666</v>
          </cell>
          <cell r="X94">
            <v>0</v>
          </cell>
          <cell r="Y94">
            <v>0</v>
          </cell>
          <cell r="Z94">
            <v>0</v>
          </cell>
          <cell r="AA94">
            <v>9.0514663667235116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18.363744096989858</v>
          </cell>
          <cell r="I95">
            <v>0</v>
          </cell>
          <cell r="J95">
            <v>0</v>
          </cell>
          <cell r="K95">
            <v>0</v>
          </cell>
          <cell r="L95">
            <v>10.92885192310505</v>
          </cell>
          <cell r="N95">
            <v>0</v>
          </cell>
          <cell r="O95">
            <v>0</v>
          </cell>
          <cell r="P95">
            <v>0</v>
          </cell>
          <cell r="Q95">
            <v>26.263838734668987</v>
          </cell>
          <cell r="S95">
            <v>0</v>
          </cell>
          <cell r="T95">
            <v>0</v>
          </cell>
          <cell r="U95">
            <v>0</v>
          </cell>
          <cell r="V95">
            <v>29.355733195169069</v>
          </cell>
          <cell r="X95">
            <v>0</v>
          </cell>
          <cell r="Y95">
            <v>0</v>
          </cell>
          <cell r="Z95">
            <v>0</v>
          </cell>
          <cell r="AA95">
            <v>12.917943836582941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25.910680529300567</v>
          </cell>
          <cell r="I96">
            <v>0</v>
          </cell>
          <cell r="J96">
            <v>0</v>
          </cell>
          <cell r="K96">
            <v>0</v>
          </cell>
          <cell r="L96">
            <v>15.939393939393941</v>
          </cell>
          <cell r="N96">
            <v>0</v>
          </cell>
          <cell r="O96">
            <v>0</v>
          </cell>
          <cell r="P96">
            <v>0</v>
          </cell>
          <cell r="Q96">
            <v>39.897849462365585</v>
          </cell>
          <cell r="S96">
            <v>0</v>
          </cell>
          <cell r="T96">
            <v>0</v>
          </cell>
          <cell r="U96">
            <v>0</v>
          </cell>
          <cell r="V96">
            <v>31.602484472049689</v>
          </cell>
          <cell r="X96">
            <v>0</v>
          </cell>
          <cell r="Y96">
            <v>0</v>
          </cell>
          <cell r="Z96">
            <v>0</v>
          </cell>
          <cell r="AA96">
            <v>22.169765878331809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6.7543767617623871</v>
          </cell>
          <cell r="I98">
            <v>0</v>
          </cell>
          <cell r="J98">
            <v>0</v>
          </cell>
          <cell r="K98">
            <v>0</v>
          </cell>
          <cell r="L98">
            <v>2.9955518821094622</v>
          </cell>
          <cell r="N98">
            <v>0</v>
          </cell>
          <cell r="O98">
            <v>0</v>
          </cell>
          <cell r="P98">
            <v>0</v>
          </cell>
          <cell r="Q98">
            <v>1.305120200303004</v>
          </cell>
          <cell r="S98">
            <v>0</v>
          </cell>
          <cell r="T98">
            <v>0</v>
          </cell>
          <cell r="U98">
            <v>0</v>
          </cell>
          <cell r="V98">
            <v>1.7432250627859298</v>
          </cell>
          <cell r="X98">
            <v>0</v>
          </cell>
          <cell r="Y98">
            <v>0</v>
          </cell>
          <cell r="Z98">
            <v>0</v>
          </cell>
          <cell r="AA98">
            <v>2.8476484921207916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11.740776612168499</v>
          </cell>
          <cell r="I99">
            <v>0</v>
          </cell>
          <cell r="J99">
            <v>0</v>
          </cell>
          <cell r="K99">
            <v>0</v>
          </cell>
          <cell r="L99">
            <v>8.1982876527785393</v>
          </cell>
          <cell r="N99">
            <v>0</v>
          </cell>
          <cell r="O99">
            <v>0</v>
          </cell>
          <cell r="P99">
            <v>0</v>
          </cell>
          <cell r="Q99">
            <v>16.910200149971956</v>
          </cell>
          <cell r="S99">
            <v>0</v>
          </cell>
          <cell r="T99">
            <v>0</v>
          </cell>
          <cell r="U99">
            <v>0</v>
          </cell>
          <cell r="V99">
            <v>12.414391153813121</v>
          </cell>
          <cell r="X99">
            <v>0</v>
          </cell>
          <cell r="Y99">
            <v>0</v>
          </cell>
          <cell r="Z99">
            <v>0</v>
          </cell>
          <cell r="AA99">
            <v>8.4349812870986565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13.945641419829279</v>
          </cell>
          <cell r="I100">
            <v>0</v>
          </cell>
          <cell r="J100">
            <v>0</v>
          </cell>
          <cell r="K100">
            <v>0</v>
          </cell>
          <cell r="L100">
            <v>9.5201035560262461</v>
          </cell>
          <cell r="N100">
            <v>0</v>
          </cell>
          <cell r="O100">
            <v>0</v>
          </cell>
          <cell r="P100">
            <v>0</v>
          </cell>
          <cell r="Q100">
            <v>20.140872990915163</v>
          </cell>
          <cell r="S100">
            <v>0</v>
          </cell>
          <cell r="T100">
            <v>0</v>
          </cell>
          <cell r="U100">
            <v>0</v>
          </cell>
          <cell r="V100">
            <v>22.472312200137509</v>
          </cell>
          <cell r="X100">
            <v>0</v>
          </cell>
          <cell r="Y100">
            <v>0</v>
          </cell>
          <cell r="Z100">
            <v>0</v>
          </cell>
          <cell r="AA100">
            <v>11.727083214127825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20.359079093947269</v>
          </cell>
          <cell r="I101">
            <v>0</v>
          </cell>
          <cell r="J101">
            <v>0</v>
          </cell>
          <cell r="K101">
            <v>0</v>
          </cell>
          <cell r="L101">
            <v>13.556701030927837</v>
          </cell>
          <cell r="N101">
            <v>0</v>
          </cell>
          <cell r="O101">
            <v>0</v>
          </cell>
          <cell r="P101">
            <v>0</v>
          </cell>
          <cell r="Q101">
            <v>30.920833333333331</v>
          </cell>
          <cell r="S101">
            <v>0</v>
          </cell>
          <cell r="T101">
            <v>0</v>
          </cell>
          <cell r="U101">
            <v>0</v>
          </cell>
          <cell r="V101">
            <v>25.827411167512693</v>
          </cell>
          <cell r="X101">
            <v>0</v>
          </cell>
          <cell r="Y101">
            <v>0</v>
          </cell>
          <cell r="Z101">
            <v>0</v>
          </cell>
          <cell r="AA101">
            <v>21.912070145657502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 t="str">
            <v>N/A</v>
          </cell>
          <cell r="I103">
            <v>0</v>
          </cell>
          <cell r="J103">
            <v>0</v>
          </cell>
          <cell r="K103">
            <v>0</v>
          </cell>
          <cell r="L103" t="str">
            <v>N/A</v>
          </cell>
          <cell r="N103">
            <v>0</v>
          </cell>
          <cell r="O103">
            <v>0</v>
          </cell>
          <cell r="P103">
            <v>0</v>
          </cell>
          <cell r="Q103" t="str">
            <v>N/A</v>
          </cell>
          <cell r="S103">
            <v>0</v>
          </cell>
          <cell r="T103">
            <v>0</v>
          </cell>
          <cell r="U103">
            <v>0</v>
          </cell>
          <cell r="V103" t="str">
            <v>N/A</v>
          </cell>
          <cell r="X103">
            <v>0</v>
          </cell>
          <cell r="Y103">
            <v>0</v>
          </cell>
          <cell r="Z103">
            <v>0</v>
          </cell>
          <cell r="AA103">
            <v>2.564565303030987</v>
          </cell>
        </row>
        <row r="104">
          <cell r="D104">
            <v>0</v>
          </cell>
          <cell r="E104">
            <v>0</v>
          </cell>
          <cell r="F104">
            <v>0</v>
          </cell>
          <cell r="G104" t="str">
            <v>N/A</v>
          </cell>
          <cell r="I104">
            <v>0</v>
          </cell>
          <cell r="J104">
            <v>0</v>
          </cell>
          <cell r="K104">
            <v>0</v>
          </cell>
          <cell r="L104" t="str">
            <v>N/A</v>
          </cell>
          <cell r="N104">
            <v>0</v>
          </cell>
          <cell r="O104">
            <v>0</v>
          </cell>
          <cell r="P104">
            <v>0</v>
          </cell>
          <cell r="Q104" t="str">
            <v>N/A</v>
          </cell>
          <cell r="S104">
            <v>0</v>
          </cell>
          <cell r="T104">
            <v>0</v>
          </cell>
          <cell r="U104">
            <v>0</v>
          </cell>
          <cell r="V104" t="str">
            <v>N/A</v>
          </cell>
          <cell r="X104">
            <v>0</v>
          </cell>
          <cell r="Y104">
            <v>0</v>
          </cell>
          <cell r="Z104">
            <v>0</v>
          </cell>
          <cell r="AA104">
            <v>7.7785358005928398</v>
          </cell>
        </row>
        <row r="105">
          <cell r="D105">
            <v>0</v>
          </cell>
          <cell r="E105">
            <v>0</v>
          </cell>
          <cell r="F105">
            <v>0</v>
          </cell>
          <cell r="G105" t="str">
            <v>N/A</v>
          </cell>
          <cell r="I105">
            <v>0</v>
          </cell>
          <cell r="J105">
            <v>0</v>
          </cell>
          <cell r="K105">
            <v>0</v>
          </cell>
          <cell r="L105" t="str">
            <v>N/A</v>
          </cell>
          <cell r="N105">
            <v>0</v>
          </cell>
          <cell r="O105">
            <v>0</v>
          </cell>
          <cell r="P105">
            <v>0</v>
          </cell>
          <cell r="Q105" t="str">
            <v>N/A</v>
          </cell>
          <cell r="S105">
            <v>0</v>
          </cell>
          <cell r="T105">
            <v>0</v>
          </cell>
          <cell r="U105">
            <v>0</v>
          </cell>
          <cell r="V105" t="str">
            <v>N/A</v>
          </cell>
          <cell r="X105">
            <v>0</v>
          </cell>
          <cell r="Y105">
            <v>0</v>
          </cell>
          <cell r="Z105">
            <v>0</v>
          </cell>
          <cell r="AA105">
            <v>11.07627357312486</v>
          </cell>
        </row>
        <row r="106">
          <cell r="D106">
            <v>0</v>
          </cell>
          <cell r="E106">
            <v>0</v>
          </cell>
          <cell r="F106">
            <v>0</v>
          </cell>
          <cell r="G106" t="str">
            <v>N/A</v>
          </cell>
          <cell r="I106">
            <v>0</v>
          </cell>
          <cell r="J106">
            <v>0</v>
          </cell>
          <cell r="K106">
            <v>0</v>
          </cell>
          <cell r="L106" t="str">
            <v>N/A</v>
          </cell>
          <cell r="N106">
            <v>0</v>
          </cell>
          <cell r="O106">
            <v>0</v>
          </cell>
          <cell r="P106">
            <v>0</v>
          </cell>
          <cell r="Q106" t="str">
            <v>N/A</v>
          </cell>
          <cell r="S106">
            <v>0</v>
          </cell>
          <cell r="T106">
            <v>0</v>
          </cell>
          <cell r="U106">
            <v>0</v>
          </cell>
          <cell r="V106" t="str">
            <v>N/A</v>
          </cell>
          <cell r="X106">
            <v>0</v>
          </cell>
          <cell r="Y106">
            <v>0</v>
          </cell>
          <cell r="Z106">
            <v>0</v>
          </cell>
          <cell r="AA106">
            <v>21.253845427573552</v>
          </cell>
        </row>
      </sheetData>
      <sheetData sheetId="8">
        <row r="24">
          <cell r="E24">
            <v>5362.30610469166</v>
          </cell>
        </row>
      </sheetData>
      <sheetData sheetId="9"/>
      <sheetData sheetId="10"/>
      <sheetData sheetId="11">
        <row r="2">
          <cell r="D2">
            <v>0</v>
          </cell>
          <cell r="E2">
            <v>0</v>
          </cell>
          <cell r="F2">
            <v>0</v>
          </cell>
          <cell r="G2" t="str">
            <v>AQNT</v>
          </cell>
          <cell r="I2">
            <v>0</v>
          </cell>
          <cell r="J2">
            <v>0</v>
          </cell>
          <cell r="K2">
            <v>0</v>
          </cell>
          <cell r="L2" t="str">
            <v>DBLK</v>
          </cell>
          <cell r="N2">
            <v>0</v>
          </cell>
          <cell r="O2">
            <v>0</v>
          </cell>
          <cell r="P2">
            <v>0</v>
          </cell>
          <cell r="Q2" t="str">
            <v>DTAS</v>
          </cell>
          <cell r="S2">
            <v>0</v>
          </cell>
          <cell r="T2">
            <v>0</v>
          </cell>
          <cell r="U2">
            <v>0</v>
          </cell>
          <cell r="V2" t="str">
            <v>RTMD</v>
          </cell>
          <cell r="X2">
            <v>0</v>
          </cell>
          <cell r="Y2">
            <v>0</v>
          </cell>
          <cell r="Z2">
            <v>0</v>
          </cell>
          <cell r="AA2" t="str">
            <v>VTRU</v>
          </cell>
          <cell r="AC2">
            <v>0</v>
          </cell>
          <cell r="AD2">
            <v>0</v>
          </cell>
          <cell r="AE2">
            <v>0</v>
          </cell>
          <cell r="AF2" t="str">
            <v>IVIL</v>
          </cell>
          <cell r="AH2">
            <v>0</v>
          </cell>
          <cell r="AI2">
            <v>0</v>
          </cell>
          <cell r="AJ2">
            <v>0</v>
          </cell>
          <cell r="AK2" t="str">
            <v>TFSM</v>
          </cell>
        </row>
        <row r="3">
          <cell r="D3">
            <v>0</v>
          </cell>
          <cell r="E3">
            <v>0</v>
          </cell>
          <cell r="F3">
            <v>0</v>
          </cell>
          <cell r="G3" t="str">
            <v>aQuantive</v>
          </cell>
          <cell r="I3">
            <v>0</v>
          </cell>
          <cell r="J3">
            <v>0</v>
          </cell>
          <cell r="K3">
            <v>0</v>
          </cell>
          <cell r="L3" t="str">
            <v>DoubleClick</v>
          </cell>
          <cell r="N3">
            <v>0</v>
          </cell>
          <cell r="O3">
            <v>0</v>
          </cell>
          <cell r="P3">
            <v>0</v>
          </cell>
          <cell r="Q3" t="str">
            <v>Digitas</v>
          </cell>
          <cell r="S3">
            <v>0</v>
          </cell>
          <cell r="T3">
            <v>0</v>
          </cell>
          <cell r="U3">
            <v>0</v>
          </cell>
          <cell r="V3" t="str">
            <v>Right Media (Remaining 80%)</v>
          </cell>
          <cell r="X3">
            <v>0</v>
          </cell>
          <cell r="Y3">
            <v>0</v>
          </cell>
          <cell r="Z3">
            <v>0</v>
          </cell>
          <cell r="AA3" t="str">
            <v>Vertrue</v>
          </cell>
          <cell r="AC3">
            <v>0</v>
          </cell>
          <cell r="AD3">
            <v>0</v>
          </cell>
          <cell r="AE3">
            <v>0</v>
          </cell>
          <cell r="AF3" t="str">
            <v>iVillage</v>
          </cell>
          <cell r="AH3">
            <v>0</v>
          </cell>
          <cell r="AI3">
            <v>0</v>
          </cell>
          <cell r="AJ3">
            <v>0</v>
          </cell>
          <cell r="AK3" t="str">
            <v>24/7 Real Media</v>
          </cell>
        </row>
        <row r="4">
          <cell r="D4">
            <v>0</v>
          </cell>
          <cell r="E4">
            <v>0</v>
          </cell>
          <cell r="F4">
            <v>0</v>
          </cell>
          <cell r="G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D5">
            <v>0</v>
          </cell>
          <cell r="E5">
            <v>0</v>
          </cell>
          <cell r="F5">
            <v>0</v>
          </cell>
          <cell r="G5" t="str">
            <v>Microsoft</v>
          </cell>
          <cell r="I5">
            <v>0</v>
          </cell>
          <cell r="J5">
            <v>0</v>
          </cell>
          <cell r="K5">
            <v>0</v>
          </cell>
          <cell r="L5" t="str">
            <v>Google</v>
          </cell>
          <cell r="N5">
            <v>0</v>
          </cell>
          <cell r="O5">
            <v>0</v>
          </cell>
          <cell r="P5">
            <v>0</v>
          </cell>
          <cell r="Q5" t="str">
            <v>Publicis</v>
          </cell>
          <cell r="S5">
            <v>0</v>
          </cell>
          <cell r="T5">
            <v>0</v>
          </cell>
          <cell r="U5">
            <v>0</v>
          </cell>
          <cell r="V5" t="str">
            <v>Yahoo</v>
          </cell>
          <cell r="X5">
            <v>0</v>
          </cell>
          <cell r="Y5">
            <v>0</v>
          </cell>
          <cell r="Z5">
            <v>0</v>
          </cell>
          <cell r="AA5" t="str">
            <v>Investor Group</v>
          </cell>
          <cell r="AC5">
            <v>0</v>
          </cell>
          <cell r="AD5">
            <v>0</v>
          </cell>
          <cell r="AE5">
            <v>0</v>
          </cell>
          <cell r="AF5" t="str">
            <v>NBC Universal</v>
          </cell>
          <cell r="AH5">
            <v>0</v>
          </cell>
          <cell r="AI5">
            <v>0</v>
          </cell>
          <cell r="AJ5">
            <v>0</v>
          </cell>
          <cell r="AK5" t="str">
            <v>WPP Group</v>
          </cell>
        </row>
        <row r="6">
          <cell r="D6" t="str">
            <v>Calendarization</v>
          </cell>
          <cell r="E6">
            <v>0</v>
          </cell>
          <cell r="F6">
            <v>0</v>
          </cell>
          <cell r="G6">
            <v>0</v>
          </cell>
          <cell r="I6" t="str">
            <v>Calendarization</v>
          </cell>
          <cell r="J6">
            <v>0</v>
          </cell>
          <cell r="K6">
            <v>0</v>
          </cell>
          <cell r="L6">
            <v>0</v>
          </cell>
          <cell r="N6" t="str">
            <v>Calendarization</v>
          </cell>
          <cell r="O6">
            <v>0</v>
          </cell>
          <cell r="P6">
            <v>0</v>
          </cell>
          <cell r="Q6">
            <v>0</v>
          </cell>
          <cell r="S6" t="str">
            <v>Calendarization</v>
          </cell>
          <cell r="T6">
            <v>0</v>
          </cell>
          <cell r="U6">
            <v>0</v>
          </cell>
          <cell r="V6">
            <v>0</v>
          </cell>
          <cell r="X6" t="str">
            <v>Calendarization</v>
          </cell>
          <cell r="Y6">
            <v>0</v>
          </cell>
          <cell r="Z6">
            <v>0</v>
          </cell>
          <cell r="AA6">
            <v>0</v>
          </cell>
          <cell r="AC6" t="str">
            <v>Calendarization</v>
          </cell>
          <cell r="AD6">
            <v>0</v>
          </cell>
          <cell r="AE6">
            <v>0</v>
          </cell>
          <cell r="AF6">
            <v>0</v>
          </cell>
          <cell r="AH6" t="str">
            <v>Calendarization</v>
          </cell>
          <cell r="AI6">
            <v>0</v>
          </cell>
          <cell r="AJ6">
            <v>0</v>
          </cell>
          <cell r="AK6">
            <v>0</v>
          </cell>
        </row>
        <row r="7">
          <cell r="D7" t="str">
            <v>Old Partial</v>
          </cell>
          <cell r="E7" t="str">
            <v>New Partial</v>
          </cell>
          <cell r="F7" t="str">
            <v>FY</v>
          </cell>
          <cell r="G7" t="str">
            <v>TTM</v>
          </cell>
          <cell r="I7" t="str">
            <v>Old Partial</v>
          </cell>
          <cell r="J7" t="str">
            <v>New Partial</v>
          </cell>
          <cell r="K7" t="str">
            <v>FY</v>
          </cell>
          <cell r="L7" t="str">
            <v>TTM</v>
          </cell>
          <cell r="N7" t="str">
            <v>Old Partial</v>
          </cell>
          <cell r="O7" t="str">
            <v>New Partial</v>
          </cell>
          <cell r="P7" t="str">
            <v>FY</v>
          </cell>
          <cell r="Q7" t="str">
            <v>TTM</v>
          </cell>
          <cell r="S7" t="str">
            <v>Old Partial</v>
          </cell>
          <cell r="T7" t="str">
            <v>New Partial</v>
          </cell>
          <cell r="U7" t="str">
            <v>FY</v>
          </cell>
          <cell r="V7" t="str">
            <v>TTM</v>
          </cell>
          <cell r="X7" t="str">
            <v>Old Partial</v>
          </cell>
          <cell r="Y7" t="str">
            <v>New Partial</v>
          </cell>
          <cell r="Z7" t="str">
            <v>FY</v>
          </cell>
          <cell r="AA7" t="str">
            <v>TTM</v>
          </cell>
          <cell r="AC7" t="str">
            <v>Old Partial</v>
          </cell>
          <cell r="AD7" t="str">
            <v>New Partial</v>
          </cell>
          <cell r="AE7" t="str">
            <v>FY</v>
          </cell>
          <cell r="AF7" t="str">
            <v>TTM</v>
          </cell>
          <cell r="AH7" t="str">
            <v>Old Partial</v>
          </cell>
          <cell r="AI7" t="str">
            <v>New Partial</v>
          </cell>
          <cell r="AJ7" t="str">
            <v>FY</v>
          </cell>
          <cell r="AK7" t="str">
            <v>TTM</v>
          </cell>
        </row>
        <row r="8">
          <cell r="D8">
            <v>92.185000000000002</v>
          </cell>
          <cell r="E8">
            <v>142.62100000000001</v>
          </cell>
          <cell r="F8">
            <v>442.21100000000001</v>
          </cell>
          <cell r="G8">
            <v>492.64699999999999</v>
          </cell>
          <cell r="I8">
            <v>0</v>
          </cell>
          <cell r="J8">
            <v>0</v>
          </cell>
          <cell r="K8">
            <v>231.8</v>
          </cell>
          <cell r="L8">
            <v>231.8</v>
          </cell>
          <cell r="N8">
            <v>406.44900000000001</v>
          </cell>
          <cell r="O8">
            <v>553.68399999999997</v>
          </cell>
          <cell r="P8">
            <v>565.49699999999996</v>
          </cell>
          <cell r="Q8">
            <v>712.73199999999997</v>
          </cell>
          <cell r="S8">
            <v>0</v>
          </cell>
          <cell r="T8">
            <v>0</v>
          </cell>
          <cell r="U8" t="str">
            <v>N/A</v>
          </cell>
          <cell r="V8" t="str">
            <v>N/A</v>
          </cell>
          <cell r="X8">
            <v>317.65800000000002</v>
          </cell>
          <cell r="Y8">
            <v>355.90499999999997</v>
          </cell>
          <cell r="Z8">
            <v>658.85500000000002</v>
          </cell>
          <cell r="AA8">
            <v>697.10199999999998</v>
          </cell>
          <cell r="AC8">
            <v>0</v>
          </cell>
          <cell r="AD8">
            <v>0</v>
          </cell>
          <cell r="AE8">
            <v>91.061000000000007</v>
          </cell>
          <cell r="AF8">
            <v>91.061000000000007</v>
          </cell>
          <cell r="AH8">
            <v>42.941000000000003</v>
          </cell>
          <cell r="AI8">
            <v>57.662999999999997</v>
          </cell>
          <cell r="AJ8">
            <v>200.24299999999999</v>
          </cell>
          <cell r="AK8">
            <v>214.965</v>
          </cell>
        </row>
        <row r="9">
          <cell r="D9">
            <v>13.378</v>
          </cell>
          <cell r="E9">
            <v>23.588000000000001</v>
          </cell>
          <cell r="F9">
            <v>67.578000000000003</v>
          </cell>
          <cell r="G9">
            <v>77.787999999999997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N9">
            <v>149.01300000000001</v>
          </cell>
          <cell r="O9">
            <v>174.298</v>
          </cell>
          <cell r="P9">
            <v>198.066</v>
          </cell>
          <cell r="Q9">
            <v>223.35100000000003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H9">
            <v>27.266999999999999</v>
          </cell>
          <cell r="AI9">
            <v>39.052999999999997</v>
          </cell>
          <cell r="AJ9">
            <v>129.41399999999999</v>
          </cell>
          <cell r="AK9">
            <v>141.19999999999999</v>
          </cell>
        </row>
        <row r="10">
          <cell r="D10">
            <v>78.807000000000002</v>
          </cell>
          <cell r="E10">
            <v>119.03300000000002</v>
          </cell>
          <cell r="F10">
            <v>374.63300000000004</v>
          </cell>
          <cell r="G10">
            <v>414.85900000000004</v>
          </cell>
          <cell r="I10">
            <v>0</v>
          </cell>
          <cell r="J10">
            <v>0</v>
          </cell>
          <cell r="K10">
            <v>231.8</v>
          </cell>
          <cell r="L10">
            <v>231.8</v>
          </cell>
          <cell r="N10">
            <v>257.43600000000004</v>
          </cell>
          <cell r="O10">
            <v>379.38599999999997</v>
          </cell>
          <cell r="P10">
            <v>367.43099999999993</v>
          </cell>
          <cell r="Q10">
            <v>489.38099999999986</v>
          </cell>
          <cell r="S10" t="str">
            <v>N/A</v>
          </cell>
          <cell r="T10" t="str">
            <v>N/A</v>
          </cell>
          <cell r="U10" t="str">
            <v>N/A</v>
          </cell>
          <cell r="V10" t="str">
            <v>N/A</v>
          </cell>
          <cell r="X10">
            <v>317.65800000000002</v>
          </cell>
          <cell r="Y10">
            <v>355.90499999999997</v>
          </cell>
          <cell r="Z10">
            <v>658.85500000000002</v>
          </cell>
          <cell r="AA10">
            <v>697.10199999999998</v>
          </cell>
          <cell r="AC10">
            <v>0</v>
          </cell>
          <cell r="AD10">
            <v>0</v>
          </cell>
          <cell r="AE10">
            <v>91.061000000000007</v>
          </cell>
          <cell r="AF10">
            <v>91.061000000000007</v>
          </cell>
          <cell r="AH10">
            <v>15.674000000000003</v>
          </cell>
          <cell r="AI10">
            <v>18.61</v>
          </cell>
          <cell r="AJ10">
            <v>70.829000000000008</v>
          </cell>
          <cell r="AK10">
            <v>73.765000000000001</v>
          </cell>
        </row>
        <row r="11">
          <cell r="D11">
            <v>67.653999999999996</v>
          </cell>
          <cell r="E11">
            <v>100.185</v>
          </cell>
          <cell r="F11">
            <v>298.62699999999995</v>
          </cell>
          <cell r="G11">
            <v>331.15799999999996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N11">
            <v>229.60400000000001</v>
          </cell>
          <cell r="O11">
            <v>350.41800000000001</v>
          </cell>
          <cell r="P11">
            <v>329.92099999999994</v>
          </cell>
          <cell r="Q11">
            <v>450.7349999999999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X11">
            <v>283.12399999999997</v>
          </cell>
          <cell r="Y11">
            <v>323.98700000000002</v>
          </cell>
          <cell r="Z11">
            <v>593.51400000000001</v>
          </cell>
          <cell r="AA11">
            <v>634.37699999999995</v>
          </cell>
          <cell r="AC11">
            <v>0</v>
          </cell>
          <cell r="AD11">
            <v>0</v>
          </cell>
          <cell r="AE11">
            <v>83.007999999999996</v>
          </cell>
          <cell r="AF11">
            <v>83.007999999999996</v>
          </cell>
          <cell r="AH11">
            <v>22.931000000000001</v>
          </cell>
          <cell r="AI11">
            <v>18.768999999999998</v>
          </cell>
          <cell r="AJ11">
            <v>78.796000000000006</v>
          </cell>
          <cell r="AK11">
            <v>74.634</v>
          </cell>
        </row>
        <row r="12">
          <cell r="D12">
            <v>2.036</v>
          </cell>
          <cell r="E12">
            <v>2.7429999999999999</v>
          </cell>
          <cell r="F12">
            <v>9.33</v>
          </cell>
          <cell r="G12">
            <v>10.037000000000001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N12">
            <v>2.1</v>
          </cell>
          <cell r="O12">
            <v>3.1579999999999999</v>
          </cell>
          <cell r="P12">
            <v>2.8</v>
          </cell>
          <cell r="Q12">
            <v>3.8580000000000001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X12">
            <v>4.633</v>
          </cell>
          <cell r="Y12">
            <v>4.16</v>
          </cell>
          <cell r="Z12">
            <v>8.36</v>
          </cell>
          <cell r="AA12">
            <v>7.8869999999999996</v>
          </cell>
          <cell r="AC12">
            <v>0</v>
          </cell>
          <cell r="AD12">
            <v>0</v>
          </cell>
          <cell r="AE12">
            <v>6.8</v>
          </cell>
          <cell r="AF12">
            <v>6.8</v>
          </cell>
          <cell r="AH12">
            <v>1.042</v>
          </cell>
          <cell r="AI12">
            <v>0.74199999999999999</v>
          </cell>
          <cell r="AJ12">
            <v>3.8610000000000002</v>
          </cell>
          <cell r="AK12">
            <v>3.5609999999999999</v>
          </cell>
        </row>
        <row r="13">
          <cell r="D13">
            <v>3.7630000000000003</v>
          </cell>
          <cell r="E13">
            <v>5.4079999999999995</v>
          </cell>
          <cell r="F13">
            <v>16.445</v>
          </cell>
          <cell r="G13">
            <v>18.09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N13">
            <v>6.793000000000001</v>
          </cell>
          <cell r="O13">
            <v>8.5530000000000008</v>
          </cell>
          <cell r="P13">
            <v>9.5040000000000013</v>
          </cell>
          <cell r="Q13">
            <v>11.264000000000001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X13">
            <v>8.3919999999999995</v>
          </cell>
          <cell r="Y13">
            <v>8.5860000000000003</v>
          </cell>
          <cell r="Z13">
            <v>17.228999999999999</v>
          </cell>
          <cell r="AA13">
            <v>17.422999999999998</v>
          </cell>
          <cell r="AC13">
            <v>0</v>
          </cell>
          <cell r="AD13">
            <v>0</v>
          </cell>
          <cell r="AE13">
            <v>2.1060000000000008</v>
          </cell>
          <cell r="AF13">
            <v>2.1060000000000008</v>
          </cell>
          <cell r="AH13">
            <v>0.83199999999999996</v>
          </cell>
          <cell r="AI13">
            <v>1.107</v>
          </cell>
          <cell r="AJ13">
            <v>3.7989999999999999</v>
          </cell>
          <cell r="AK13">
            <v>4.0739999999999998</v>
          </cell>
        </row>
        <row r="14">
          <cell r="D14">
            <v>4.7489999999999997</v>
          </cell>
          <cell r="E14">
            <v>4.7039999999999997</v>
          </cell>
          <cell r="F14">
            <v>18.553999999999998</v>
          </cell>
          <cell r="G14">
            <v>18.509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N14">
            <v>1.5820000000000001</v>
          </cell>
          <cell r="O14">
            <v>6.1239999999999997</v>
          </cell>
          <cell r="P14">
            <v>2.3540000000000001</v>
          </cell>
          <cell r="Q14">
            <v>6.8959999999999999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X14">
            <v>2.25</v>
          </cell>
          <cell r="Y14">
            <v>2.3780000000000001</v>
          </cell>
          <cell r="Z14">
            <v>4.5309999999999997</v>
          </cell>
          <cell r="AA14">
            <v>4.6589999999999998</v>
          </cell>
          <cell r="AC14">
            <v>0</v>
          </cell>
          <cell r="AD14">
            <v>0</v>
          </cell>
          <cell r="AE14">
            <v>0.20499999999999999</v>
          </cell>
          <cell r="AF14">
            <v>0.20499999999999999</v>
          </cell>
          <cell r="AH14">
            <v>9.0389999999999997</v>
          </cell>
          <cell r="AI14">
            <v>2.7949999999999999</v>
          </cell>
          <cell r="AJ14">
            <v>20.446999999999999</v>
          </cell>
          <cell r="AK14">
            <v>14.202999999999998</v>
          </cell>
        </row>
        <row r="15">
          <cell r="D15">
            <v>1.9</v>
          </cell>
          <cell r="E15">
            <v>0</v>
          </cell>
          <cell r="F15">
            <v>0</v>
          </cell>
          <cell r="G15">
            <v>-1.9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N15">
            <v>0</v>
          </cell>
          <cell r="O15">
            <v>2.39</v>
          </cell>
          <cell r="P15">
            <v>0.88100000000000001</v>
          </cell>
          <cell r="Q15">
            <v>3.2709999999999999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C15">
            <v>0</v>
          </cell>
          <cell r="AD15">
            <v>0</v>
          </cell>
          <cell r="AE15">
            <v>0.188</v>
          </cell>
          <cell r="AF15">
            <v>0.188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D17">
            <v>23.601000000000003</v>
          </cell>
          <cell r="E17">
            <v>31.70300000000001</v>
          </cell>
          <cell r="F17">
            <v>120.33500000000009</v>
          </cell>
          <cell r="G17">
            <v>128.4370000000001</v>
          </cell>
          <cell r="I17">
            <v>0</v>
          </cell>
          <cell r="J17">
            <v>0</v>
          </cell>
          <cell r="K17">
            <v>71.900000000000006</v>
          </cell>
          <cell r="L17">
            <v>71.900000000000006</v>
          </cell>
          <cell r="N17">
            <v>38.307000000000023</v>
          </cell>
          <cell r="O17">
            <v>49.192999999999962</v>
          </cell>
          <cell r="P17">
            <v>53.048999999999992</v>
          </cell>
          <cell r="Q17">
            <v>63.934999999999938</v>
          </cell>
          <cell r="S17">
            <v>0</v>
          </cell>
          <cell r="T17">
            <v>0</v>
          </cell>
          <cell r="U17" t="str">
            <v>N/A</v>
          </cell>
          <cell r="V17" t="str">
            <v>N/A</v>
          </cell>
          <cell r="X17">
            <v>49.809000000000054</v>
          </cell>
          <cell r="Y17">
            <v>47.041999999999945</v>
          </cell>
          <cell r="Z17">
            <v>95.461000000000013</v>
          </cell>
          <cell r="AA17">
            <v>92.693999999999903</v>
          </cell>
          <cell r="AC17">
            <v>0</v>
          </cell>
          <cell r="AD17">
            <v>0</v>
          </cell>
          <cell r="AE17">
            <v>17.352000000000011</v>
          </cell>
          <cell r="AF17">
            <v>17.352000000000011</v>
          </cell>
          <cell r="AH17">
            <v>3.6560000000000015</v>
          </cell>
          <cell r="AI17">
            <v>4.4850000000000012</v>
          </cell>
          <cell r="AJ17">
            <v>20.14</v>
          </cell>
          <cell r="AK17">
            <v>20.968999999999998</v>
          </cell>
        </row>
        <row r="18">
          <cell r="D18">
            <v>17.802000000000007</v>
          </cell>
          <cell r="E18">
            <v>23.552000000000014</v>
          </cell>
          <cell r="F18">
            <v>94.560000000000088</v>
          </cell>
          <cell r="G18">
            <v>100.3100000000001</v>
          </cell>
          <cell r="I18">
            <v>0</v>
          </cell>
          <cell r="J18">
            <v>0</v>
          </cell>
          <cell r="K18" t="str">
            <v>N/A</v>
          </cell>
          <cell r="L18" t="str">
            <v>N/A</v>
          </cell>
          <cell r="N18">
            <v>29.414000000000023</v>
          </cell>
          <cell r="O18">
            <v>37.481999999999964</v>
          </cell>
          <cell r="P18">
            <v>40.74499999999999</v>
          </cell>
          <cell r="Q18">
            <v>48.812999999999924</v>
          </cell>
          <cell r="R18">
            <v>0</v>
          </cell>
          <cell r="S18">
            <v>0</v>
          </cell>
          <cell r="T18">
            <v>0</v>
          </cell>
          <cell r="U18" t="str">
            <v>N/A</v>
          </cell>
          <cell r="V18" t="str">
            <v>N/A</v>
          </cell>
          <cell r="X18">
            <v>36.784000000000049</v>
          </cell>
          <cell r="Y18">
            <v>34.29599999999995</v>
          </cell>
          <cell r="Z18">
            <v>69.872000000000014</v>
          </cell>
          <cell r="AA18">
            <v>67.383999999999915</v>
          </cell>
          <cell r="AC18">
            <v>0</v>
          </cell>
          <cell r="AD18">
            <v>0</v>
          </cell>
          <cell r="AE18">
            <v>8.4460000000000122</v>
          </cell>
          <cell r="AF18">
            <v>8.4460000000000122</v>
          </cell>
          <cell r="AH18">
            <v>1.7820000000000018</v>
          </cell>
          <cell r="AI18">
            <v>2.636000000000001</v>
          </cell>
          <cell r="AJ18">
            <v>12.48</v>
          </cell>
          <cell r="AK18">
            <v>13.334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D20" t="str">
            <v>Balance Sheet Data</v>
          </cell>
          <cell r="E20">
            <v>0</v>
          </cell>
          <cell r="F20">
            <v>0</v>
          </cell>
          <cell r="G20">
            <v>0</v>
          </cell>
          <cell r="I20" t="str">
            <v>Balance Sheet Data</v>
          </cell>
          <cell r="J20">
            <v>0</v>
          </cell>
          <cell r="K20">
            <v>0</v>
          </cell>
          <cell r="L20">
            <v>0</v>
          </cell>
          <cell r="N20" t="str">
            <v>Balance Sheet Data</v>
          </cell>
          <cell r="O20">
            <v>0</v>
          </cell>
          <cell r="P20">
            <v>0</v>
          </cell>
          <cell r="Q20">
            <v>0</v>
          </cell>
          <cell r="S20" t="str">
            <v>Balance Sheet Data</v>
          </cell>
          <cell r="T20">
            <v>0</v>
          </cell>
          <cell r="U20">
            <v>0</v>
          </cell>
          <cell r="V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 t="str">
            <v>Balance Sheet Data</v>
          </cell>
          <cell r="AD20">
            <v>0</v>
          </cell>
          <cell r="AE20">
            <v>0</v>
          </cell>
          <cell r="AF20">
            <v>0</v>
          </cell>
          <cell r="AH20" t="str">
            <v>Balance Sheet Data</v>
          </cell>
          <cell r="AI20">
            <v>0</v>
          </cell>
          <cell r="AJ20">
            <v>0</v>
          </cell>
          <cell r="AK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315.70699999999999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P21">
            <v>0</v>
          </cell>
          <cell r="Q21">
            <v>147.434</v>
          </cell>
          <cell r="S21">
            <v>0</v>
          </cell>
          <cell r="T21">
            <v>0</v>
          </cell>
          <cell r="U21">
            <v>0</v>
          </cell>
          <cell r="V21" t="str">
            <v>N/A</v>
          </cell>
          <cell r="X21">
            <v>0</v>
          </cell>
          <cell r="Y21">
            <v>0</v>
          </cell>
          <cell r="Z21">
            <v>0</v>
          </cell>
          <cell r="AA21">
            <v>59.975000000000001</v>
          </cell>
          <cell r="AC21">
            <v>0</v>
          </cell>
          <cell r="AD21">
            <v>0</v>
          </cell>
          <cell r="AE21">
            <v>0</v>
          </cell>
          <cell r="AF21">
            <v>55.881</v>
          </cell>
          <cell r="AH21">
            <v>0</v>
          </cell>
          <cell r="AI21">
            <v>0</v>
          </cell>
          <cell r="AJ21">
            <v>0</v>
          </cell>
          <cell r="AK21">
            <v>67.600999999999999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Q22">
            <v>0.158</v>
          </cell>
          <cell r="S22">
            <v>0</v>
          </cell>
          <cell r="T22">
            <v>0</v>
          </cell>
          <cell r="U22">
            <v>0</v>
          </cell>
          <cell r="V22" t="str">
            <v>N/A</v>
          </cell>
          <cell r="X22">
            <v>0</v>
          </cell>
          <cell r="Y22">
            <v>0</v>
          </cell>
          <cell r="Z22">
            <v>0</v>
          </cell>
          <cell r="AA22">
            <v>148.81699999999998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N/A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N/A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1.7569999999999999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D26" t="str">
            <v>Equity Research Projections</v>
          </cell>
          <cell r="E26">
            <v>0</v>
          </cell>
          <cell r="F26">
            <v>0</v>
          </cell>
          <cell r="G26">
            <v>0</v>
          </cell>
          <cell r="I26" t="str">
            <v>Equity Research Projections</v>
          </cell>
          <cell r="J26">
            <v>0</v>
          </cell>
          <cell r="K26">
            <v>0</v>
          </cell>
          <cell r="L26">
            <v>0</v>
          </cell>
          <cell r="N26" t="str">
            <v>Equity Research Projections</v>
          </cell>
          <cell r="O26">
            <v>0</v>
          </cell>
          <cell r="P26">
            <v>0</v>
          </cell>
          <cell r="Q26">
            <v>0</v>
          </cell>
          <cell r="S26" t="str">
            <v>Equity Research Projections</v>
          </cell>
          <cell r="T26">
            <v>0</v>
          </cell>
          <cell r="U26">
            <v>0</v>
          </cell>
          <cell r="V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C26" t="str">
            <v>Equity Research Projections</v>
          </cell>
          <cell r="AD26">
            <v>0</v>
          </cell>
          <cell r="AE26">
            <v>0</v>
          </cell>
          <cell r="AF26">
            <v>0</v>
          </cell>
          <cell r="AH26" t="str">
            <v>Equity Research Projections</v>
          </cell>
          <cell r="AI26">
            <v>0</v>
          </cell>
          <cell r="AJ26">
            <v>0</v>
          </cell>
          <cell r="AK26">
            <v>0</v>
          </cell>
        </row>
        <row r="27">
          <cell r="D27">
            <v>39447</v>
          </cell>
          <cell r="E27">
            <v>39813</v>
          </cell>
          <cell r="F27">
            <v>0</v>
          </cell>
          <cell r="G27">
            <v>0</v>
          </cell>
          <cell r="I27">
            <v>39447</v>
          </cell>
          <cell r="J27">
            <v>39813</v>
          </cell>
          <cell r="K27">
            <v>0</v>
          </cell>
          <cell r="L27">
            <v>0</v>
          </cell>
          <cell r="N27">
            <v>39082</v>
          </cell>
          <cell r="O27">
            <v>39447</v>
          </cell>
          <cell r="P27">
            <v>0</v>
          </cell>
          <cell r="Q27">
            <v>0</v>
          </cell>
          <cell r="S27">
            <v>39447</v>
          </cell>
          <cell r="T27">
            <v>39813</v>
          </cell>
          <cell r="U27">
            <v>0</v>
          </cell>
          <cell r="V27">
            <v>0</v>
          </cell>
          <cell r="X27">
            <v>39447</v>
          </cell>
          <cell r="Y27">
            <v>39813</v>
          </cell>
          <cell r="Z27">
            <v>0</v>
          </cell>
          <cell r="AA27">
            <v>0</v>
          </cell>
          <cell r="AC27">
            <v>39082</v>
          </cell>
          <cell r="AD27">
            <v>39447</v>
          </cell>
          <cell r="AE27">
            <v>0</v>
          </cell>
          <cell r="AF27">
            <v>0</v>
          </cell>
          <cell r="AH27">
            <v>39447</v>
          </cell>
          <cell r="AI27">
            <v>39813</v>
          </cell>
          <cell r="AJ27">
            <v>0</v>
          </cell>
          <cell r="AK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 t="str">
            <v>CS</v>
          </cell>
          <cell r="I28">
            <v>0</v>
          </cell>
          <cell r="J28">
            <v>0</v>
          </cell>
          <cell r="K28">
            <v>0</v>
          </cell>
          <cell r="L28" t="str">
            <v>JPM</v>
          </cell>
          <cell r="N28">
            <v>0</v>
          </cell>
          <cell r="O28">
            <v>0</v>
          </cell>
          <cell r="P28">
            <v>0</v>
          </cell>
          <cell r="Q28" t="str">
            <v>JEF</v>
          </cell>
          <cell r="S28">
            <v>0</v>
          </cell>
          <cell r="T28">
            <v>0</v>
          </cell>
          <cell r="U28">
            <v>0</v>
          </cell>
          <cell r="V28" t="str">
            <v>N/A</v>
          </cell>
          <cell r="X28">
            <v>0</v>
          </cell>
          <cell r="Y28">
            <v>0</v>
          </cell>
          <cell r="Z28">
            <v>0</v>
          </cell>
          <cell r="AA28" t="str">
            <v>FBW</v>
          </cell>
          <cell r="AC28">
            <v>0</v>
          </cell>
          <cell r="AD28">
            <v>0</v>
          </cell>
          <cell r="AE28">
            <v>0</v>
          </cell>
          <cell r="AF28" t="str">
            <v>DB</v>
          </cell>
          <cell r="AH28">
            <v>0</v>
          </cell>
          <cell r="AI28">
            <v>0</v>
          </cell>
          <cell r="AJ28">
            <v>0</v>
          </cell>
          <cell r="AK28" t="str">
            <v>RBC</v>
          </cell>
        </row>
        <row r="29">
          <cell r="D29">
            <v>0</v>
          </cell>
          <cell r="E29">
            <v>0</v>
          </cell>
          <cell r="F29">
            <v>0</v>
          </cell>
          <cell r="G29" t="str">
            <v>5.8.07</v>
          </cell>
          <cell r="I29">
            <v>0</v>
          </cell>
          <cell r="J29">
            <v>0</v>
          </cell>
          <cell r="K29">
            <v>0</v>
          </cell>
          <cell r="L29" t="str">
            <v>3.11.08</v>
          </cell>
          <cell r="N29">
            <v>0</v>
          </cell>
          <cell r="O29">
            <v>0</v>
          </cell>
          <cell r="P29">
            <v>0</v>
          </cell>
          <cell r="Q29">
            <v>39113</v>
          </cell>
          <cell r="S29">
            <v>0</v>
          </cell>
          <cell r="T29">
            <v>0</v>
          </cell>
          <cell r="U29">
            <v>0</v>
          </cell>
          <cell r="V29" t="str">
            <v>N/A</v>
          </cell>
          <cell r="X29">
            <v>0</v>
          </cell>
          <cell r="Y29">
            <v>0</v>
          </cell>
          <cell r="Z29">
            <v>0</v>
          </cell>
          <cell r="AA29" t="str">
            <v>5.8.07</v>
          </cell>
          <cell r="AC29">
            <v>0</v>
          </cell>
          <cell r="AD29">
            <v>0</v>
          </cell>
          <cell r="AE29">
            <v>0</v>
          </cell>
          <cell r="AF29" t="str">
            <v>3.6.06</v>
          </cell>
          <cell r="AH29">
            <v>0</v>
          </cell>
          <cell r="AI29">
            <v>0</v>
          </cell>
          <cell r="AJ29">
            <v>0</v>
          </cell>
          <cell r="AK29" t="str">
            <v>5.17.07</v>
          </cell>
        </row>
        <row r="30">
          <cell r="D30">
            <v>610.20000000000005</v>
          </cell>
          <cell r="E30">
            <v>748.6</v>
          </cell>
          <cell r="F30">
            <v>0</v>
          </cell>
          <cell r="G30">
            <v>0</v>
          </cell>
          <cell r="I30">
            <v>296.7</v>
          </cell>
          <cell r="J30">
            <v>379.06666666666666</v>
          </cell>
          <cell r="K30">
            <v>0</v>
          </cell>
          <cell r="L30">
            <v>0</v>
          </cell>
          <cell r="N30">
            <v>743.31399999999996</v>
          </cell>
          <cell r="O30">
            <v>899.03800000000001</v>
          </cell>
          <cell r="P30">
            <v>0</v>
          </cell>
          <cell r="Q30">
            <v>0</v>
          </cell>
          <cell r="S30">
            <v>70</v>
          </cell>
          <cell r="T30" t="str">
            <v>N/A</v>
          </cell>
          <cell r="U30">
            <v>0</v>
          </cell>
          <cell r="V30">
            <v>0</v>
          </cell>
          <cell r="X30">
            <v>679.79649999999992</v>
          </cell>
          <cell r="Y30" t="str">
            <v>N/A</v>
          </cell>
          <cell r="Z30">
            <v>0</v>
          </cell>
          <cell r="AA30">
            <v>0</v>
          </cell>
          <cell r="AC30">
            <v>109</v>
          </cell>
          <cell r="AD30">
            <v>125</v>
          </cell>
          <cell r="AE30">
            <v>0</v>
          </cell>
          <cell r="AF30">
            <v>0</v>
          </cell>
          <cell r="AH30">
            <v>269.10000000000002</v>
          </cell>
          <cell r="AI30">
            <v>355.4</v>
          </cell>
          <cell r="AJ30">
            <v>0</v>
          </cell>
          <cell r="AK30">
            <v>0</v>
          </cell>
        </row>
        <row r="31">
          <cell r="D31">
            <v>154.4</v>
          </cell>
          <cell r="E31">
            <v>197.8</v>
          </cell>
          <cell r="F31">
            <v>0</v>
          </cell>
          <cell r="G31">
            <v>0</v>
          </cell>
          <cell r="I31">
            <v>97.9</v>
          </cell>
          <cell r="J31">
            <v>100.79999999999998</v>
          </cell>
          <cell r="K31">
            <v>0</v>
          </cell>
          <cell r="L31">
            <v>0</v>
          </cell>
          <cell r="N31">
            <v>63.366</v>
          </cell>
          <cell r="O31">
            <v>77.994</v>
          </cell>
          <cell r="P31">
            <v>0</v>
          </cell>
          <cell r="Q31">
            <v>0</v>
          </cell>
          <cell r="S31">
            <v>17.5</v>
          </cell>
          <cell r="T31" t="str">
            <v>N/A</v>
          </cell>
          <cell r="U31">
            <v>0</v>
          </cell>
          <cell r="V31">
            <v>0</v>
          </cell>
          <cell r="X31">
            <v>102.4465</v>
          </cell>
          <cell r="Y31" t="str">
            <v>N/A</v>
          </cell>
          <cell r="Z31">
            <v>0</v>
          </cell>
          <cell r="AA31">
            <v>0</v>
          </cell>
          <cell r="AC31">
            <v>25.8</v>
          </cell>
          <cell r="AD31">
            <v>34.4</v>
          </cell>
          <cell r="AE31">
            <v>0</v>
          </cell>
          <cell r="AF31">
            <v>0</v>
          </cell>
          <cell r="AH31">
            <v>26.9</v>
          </cell>
          <cell r="AI31">
            <v>38.1</v>
          </cell>
          <cell r="AJ31">
            <v>0</v>
          </cell>
          <cell r="AK31">
            <v>0</v>
          </cell>
        </row>
        <row r="32">
          <cell r="D32">
            <v>119.24</v>
          </cell>
          <cell r="E32">
            <v>153.37</v>
          </cell>
          <cell r="F32">
            <v>0</v>
          </cell>
          <cell r="G32">
            <v>0</v>
          </cell>
          <cell r="I32" t="str">
            <v>N/A</v>
          </cell>
          <cell r="J32" t="str">
            <v>N/A</v>
          </cell>
          <cell r="K32">
            <v>0</v>
          </cell>
          <cell r="L32">
            <v>0</v>
          </cell>
          <cell r="N32">
            <v>47.471000000000004</v>
          </cell>
          <cell r="O32">
            <v>58.024999999999999</v>
          </cell>
          <cell r="P32">
            <v>0</v>
          </cell>
          <cell r="Q32">
            <v>0</v>
          </cell>
          <cell r="S32" t="str">
            <v>N/A</v>
          </cell>
          <cell r="T32" t="str">
            <v>N/A</v>
          </cell>
          <cell r="U32">
            <v>0</v>
          </cell>
          <cell r="V32">
            <v>0</v>
          </cell>
          <cell r="X32" t="str">
            <v>N/A</v>
          </cell>
          <cell r="Y32" t="str">
            <v>N/A</v>
          </cell>
          <cell r="Z32">
            <v>0</v>
          </cell>
          <cell r="AA32">
            <v>0</v>
          </cell>
          <cell r="AC32" t="str">
            <v>N/A</v>
          </cell>
          <cell r="AD32" t="str">
            <v>N/A</v>
          </cell>
          <cell r="AE32">
            <v>0</v>
          </cell>
          <cell r="AF32">
            <v>0</v>
          </cell>
          <cell r="AH32" t="str">
            <v>N/A</v>
          </cell>
          <cell r="AI32" t="str">
            <v>N/A</v>
          </cell>
          <cell r="AJ32">
            <v>0</v>
          </cell>
          <cell r="AK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D34" t="str">
            <v>Diluted Shares Calculation</v>
          </cell>
          <cell r="E34">
            <v>0</v>
          </cell>
          <cell r="F34">
            <v>0</v>
          </cell>
          <cell r="G34">
            <v>0</v>
          </cell>
          <cell r="I34" t="str">
            <v>Diluted Shares Calculation</v>
          </cell>
          <cell r="J34">
            <v>0</v>
          </cell>
          <cell r="K34">
            <v>0</v>
          </cell>
          <cell r="L34">
            <v>0</v>
          </cell>
          <cell r="N34" t="str">
            <v>Diluted Shares Calculation</v>
          </cell>
          <cell r="O34">
            <v>0</v>
          </cell>
          <cell r="P34">
            <v>0</v>
          </cell>
          <cell r="Q34">
            <v>0</v>
          </cell>
          <cell r="S34" t="str">
            <v>Diluted Shares Calculation</v>
          </cell>
          <cell r="T34">
            <v>0</v>
          </cell>
          <cell r="U34">
            <v>0</v>
          </cell>
          <cell r="V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C34" t="str">
            <v>Diluted Shares Calculation</v>
          </cell>
          <cell r="AD34">
            <v>0</v>
          </cell>
          <cell r="AE34">
            <v>0</v>
          </cell>
          <cell r="AF34">
            <v>0</v>
          </cell>
          <cell r="AH34" t="str">
            <v>Diluted Shares Calculation</v>
          </cell>
          <cell r="AI34">
            <v>0</v>
          </cell>
          <cell r="AJ34">
            <v>0</v>
          </cell>
          <cell r="AK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39220</v>
          </cell>
          <cell r="I35">
            <v>0</v>
          </cell>
          <cell r="J35">
            <v>0</v>
          </cell>
          <cell r="K35">
            <v>0</v>
          </cell>
          <cell r="L35">
            <v>39185</v>
          </cell>
          <cell r="N35">
            <v>0</v>
          </cell>
          <cell r="O35">
            <v>0</v>
          </cell>
          <cell r="P35">
            <v>0</v>
          </cell>
          <cell r="Q35">
            <v>39072</v>
          </cell>
          <cell r="S35">
            <v>0</v>
          </cell>
          <cell r="T35">
            <v>0</v>
          </cell>
          <cell r="U35">
            <v>0</v>
          </cell>
          <cell r="V35">
            <v>39201</v>
          </cell>
          <cell r="X35">
            <v>0</v>
          </cell>
          <cell r="Y35">
            <v>0</v>
          </cell>
          <cell r="Z35">
            <v>0</v>
          </cell>
          <cell r="AA35">
            <v>39163</v>
          </cell>
          <cell r="AC35">
            <v>0</v>
          </cell>
          <cell r="AD35">
            <v>0</v>
          </cell>
          <cell r="AE35">
            <v>0</v>
          </cell>
          <cell r="AF35">
            <v>38782</v>
          </cell>
          <cell r="AH35">
            <v>0</v>
          </cell>
          <cell r="AI35">
            <v>0</v>
          </cell>
          <cell r="AJ35">
            <v>0</v>
          </cell>
          <cell r="AK35">
            <v>39219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66.5</v>
          </cell>
          <cell r="I36">
            <v>0</v>
          </cell>
          <cell r="J36">
            <v>0</v>
          </cell>
          <cell r="K36">
            <v>0</v>
          </cell>
          <cell r="L36" t="str">
            <v>N/A</v>
          </cell>
          <cell r="N36">
            <v>0</v>
          </cell>
          <cell r="O36">
            <v>0</v>
          </cell>
          <cell r="P36">
            <v>0</v>
          </cell>
          <cell r="Q36">
            <v>13.5</v>
          </cell>
          <cell r="S36">
            <v>0</v>
          </cell>
          <cell r="T36">
            <v>0</v>
          </cell>
          <cell r="U36">
            <v>0</v>
          </cell>
          <cell r="V36" t="str">
            <v>N/A</v>
          </cell>
          <cell r="X36">
            <v>0</v>
          </cell>
          <cell r="Y36">
            <v>0</v>
          </cell>
          <cell r="Z36">
            <v>0</v>
          </cell>
          <cell r="AA36">
            <v>48.5</v>
          </cell>
          <cell r="AC36">
            <v>0</v>
          </cell>
          <cell r="AD36">
            <v>0</v>
          </cell>
          <cell r="AE36">
            <v>0</v>
          </cell>
          <cell r="AF36">
            <v>8.5</v>
          </cell>
          <cell r="AH36">
            <v>0</v>
          </cell>
          <cell r="AI36">
            <v>0</v>
          </cell>
          <cell r="AJ36">
            <v>0</v>
          </cell>
          <cell r="AK36">
            <v>11.75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78.924220000000005</v>
          </cell>
          <cell r="I37">
            <v>0</v>
          </cell>
          <cell r="J37">
            <v>0</v>
          </cell>
          <cell r="K37">
            <v>0</v>
          </cell>
          <cell r="L37" t="str">
            <v>N/A</v>
          </cell>
          <cell r="N37">
            <v>0</v>
          </cell>
          <cell r="O37">
            <v>0</v>
          </cell>
          <cell r="P37">
            <v>0</v>
          </cell>
          <cell r="Q37">
            <v>86.510115999999996</v>
          </cell>
          <cell r="S37">
            <v>0</v>
          </cell>
          <cell r="T37">
            <v>0</v>
          </cell>
          <cell r="U37">
            <v>0</v>
          </cell>
          <cell r="V37" t="str">
            <v>N/A</v>
          </cell>
          <cell r="X37">
            <v>0</v>
          </cell>
          <cell r="Y37">
            <v>0</v>
          </cell>
          <cell r="Z37">
            <v>0</v>
          </cell>
          <cell r="AA37">
            <v>9.6969999999999992</v>
          </cell>
          <cell r="AC37">
            <v>0</v>
          </cell>
          <cell r="AD37">
            <v>0</v>
          </cell>
          <cell r="AE37">
            <v>0</v>
          </cell>
          <cell r="AF37">
            <v>72.733710000000002</v>
          </cell>
          <cell r="AH37">
            <v>0</v>
          </cell>
          <cell r="AI37">
            <v>0</v>
          </cell>
          <cell r="AJ37">
            <v>0</v>
          </cell>
          <cell r="AK37">
            <v>50.998632000000001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D39">
            <v>0</v>
          </cell>
          <cell r="E39" t="str">
            <v>Total</v>
          </cell>
          <cell r="F39" t="str">
            <v>Strike</v>
          </cell>
          <cell r="G39" t="str">
            <v>Dilution</v>
          </cell>
          <cell r="I39">
            <v>0</v>
          </cell>
          <cell r="J39" t="str">
            <v>Total</v>
          </cell>
          <cell r="K39" t="str">
            <v>Strike</v>
          </cell>
          <cell r="L39" t="str">
            <v>Dilution</v>
          </cell>
          <cell r="N39">
            <v>0</v>
          </cell>
          <cell r="O39" t="str">
            <v>Total</v>
          </cell>
          <cell r="P39" t="str">
            <v>Strike</v>
          </cell>
          <cell r="Q39" t="str">
            <v>Dilution</v>
          </cell>
          <cell r="S39">
            <v>0</v>
          </cell>
          <cell r="T39" t="str">
            <v>Total</v>
          </cell>
          <cell r="U39" t="str">
            <v>Strike</v>
          </cell>
          <cell r="V39" t="str">
            <v>Dilution</v>
          </cell>
          <cell r="X39">
            <v>0</v>
          </cell>
          <cell r="Y39" t="str">
            <v>Total</v>
          </cell>
          <cell r="Z39" t="str">
            <v>Strike</v>
          </cell>
          <cell r="AA39" t="str">
            <v>Dilution</v>
          </cell>
          <cell r="AC39">
            <v>0</v>
          </cell>
          <cell r="AD39" t="str">
            <v>Total</v>
          </cell>
          <cell r="AE39" t="str">
            <v>Strike</v>
          </cell>
          <cell r="AF39" t="str">
            <v>Dilution</v>
          </cell>
          <cell r="AH39">
            <v>0</v>
          </cell>
          <cell r="AI39" t="str">
            <v>Total</v>
          </cell>
          <cell r="AJ39" t="str">
            <v>Strike</v>
          </cell>
          <cell r="AK39" t="str">
            <v>Dilution</v>
          </cell>
        </row>
        <row r="40">
          <cell r="D40">
            <v>0</v>
          </cell>
          <cell r="E40">
            <v>12.638999999999999</v>
          </cell>
          <cell r="F40">
            <v>11.27</v>
          </cell>
          <cell r="G40">
            <v>10.497022105263158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1.2419789999999999</v>
          </cell>
          <cell r="P40">
            <v>1</v>
          </cell>
          <cell r="Q40">
            <v>1.1499805555555556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X40">
            <v>0</v>
          </cell>
          <cell r="Y40">
            <v>0.41899999999999998</v>
          </cell>
          <cell r="Z40">
            <v>12.4</v>
          </cell>
          <cell r="AA40">
            <v>0.31187422680412369</v>
          </cell>
          <cell r="AC40">
            <v>0</v>
          </cell>
          <cell r="AD40">
            <v>0.14974999999999999</v>
          </cell>
          <cell r="AE40">
            <v>0.63</v>
          </cell>
          <cell r="AF40">
            <v>0.13865088235294118</v>
          </cell>
          <cell r="AH40">
            <v>0</v>
          </cell>
          <cell r="AI40">
            <v>1.103</v>
          </cell>
          <cell r="AJ40">
            <v>1.1200000000000001</v>
          </cell>
          <cell r="AK40">
            <v>0.99786297872340424</v>
          </cell>
        </row>
        <row r="41">
          <cell r="D41">
            <v>0</v>
          </cell>
          <cell r="E41">
            <v>6.1633281972265017</v>
          </cell>
          <cell r="F41">
            <v>12.98</v>
          </cell>
          <cell r="G41">
            <v>6.1633281972265017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5.7526489999999999</v>
          </cell>
          <cell r="P41">
            <v>2.65</v>
          </cell>
          <cell r="Q41">
            <v>4.6234253074074072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X41">
            <v>0</v>
          </cell>
          <cell r="Y41">
            <v>0.377</v>
          </cell>
          <cell r="Z41">
            <v>16.43</v>
          </cell>
          <cell r="AA41">
            <v>0.24928639175257733</v>
          </cell>
          <cell r="AC41">
            <v>0</v>
          </cell>
          <cell r="AD41">
            <v>1.799199</v>
          </cell>
          <cell r="AE41">
            <v>1.2</v>
          </cell>
          <cell r="AF41">
            <v>1.5451944352941176</v>
          </cell>
          <cell r="AH41">
            <v>0</v>
          </cell>
          <cell r="AI41">
            <v>2.7090000000000001</v>
          </cell>
          <cell r="AJ41">
            <v>4.1900000000000004</v>
          </cell>
          <cell r="AK41">
            <v>1.7429821276595745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1.935381</v>
          </cell>
          <cell r="P42">
            <v>4.3099999999999996</v>
          </cell>
          <cell r="Q42">
            <v>1.3174926955555555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X42">
            <v>0</v>
          </cell>
          <cell r="Y42">
            <v>0.54600000000000004</v>
          </cell>
          <cell r="Z42">
            <v>20.65</v>
          </cell>
          <cell r="AA42">
            <v>0.31352783505154641</v>
          </cell>
          <cell r="AC42">
            <v>0</v>
          </cell>
          <cell r="AD42">
            <v>2.0885929999999999</v>
          </cell>
          <cell r="AE42">
            <v>1.51</v>
          </cell>
          <cell r="AF42">
            <v>1.7175605964705882</v>
          </cell>
          <cell r="AH42">
            <v>0</v>
          </cell>
          <cell r="AI42">
            <v>3.1680000000000001</v>
          </cell>
          <cell r="AJ42">
            <v>6.65</v>
          </cell>
          <cell r="AK42">
            <v>1.3750468085106382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2.1461610000000002</v>
          </cell>
          <cell r="P43">
            <v>7.54</v>
          </cell>
          <cell r="Q43">
            <v>0.94749033777777769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X43">
            <v>0</v>
          </cell>
          <cell r="Y43">
            <v>0.82899999999999996</v>
          </cell>
          <cell r="Z43">
            <v>29.47</v>
          </cell>
          <cell r="AA43">
            <v>0.32527567010309277</v>
          </cell>
          <cell r="AC43">
            <v>0</v>
          </cell>
          <cell r="AD43">
            <v>0.86277199999999998</v>
          </cell>
          <cell r="AE43">
            <v>2.71</v>
          </cell>
          <cell r="AF43">
            <v>0.58769998588235295</v>
          </cell>
          <cell r="AH43">
            <v>0</v>
          </cell>
          <cell r="AI43">
            <v>0.14699999999999999</v>
          </cell>
          <cell r="AJ43">
            <v>80.06</v>
          </cell>
          <cell r="AK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2.5046840000000001</v>
          </cell>
          <cell r="P44">
            <v>10.18</v>
          </cell>
          <cell r="Q44">
            <v>0.6159667318518518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X44">
            <v>0</v>
          </cell>
          <cell r="Y44">
            <v>0.36</v>
          </cell>
          <cell r="Z44">
            <v>36.86</v>
          </cell>
          <cell r="AA44">
            <v>8.6400000000000032E-2</v>
          </cell>
          <cell r="AC44">
            <v>0</v>
          </cell>
          <cell r="AD44">
            <v>0.20774999999999999</v>
          </cell>
          <cell r="AE44">
            <v>3.51</v>
          </cell>
          <cell r="AF44">
            <v>0.12196147058823528</v>
          </cell>
          <cell r="AH44">
            <v>0</v>
          </cell>
          <cell r="AI44">
            <v>1.7142857142857142</v>
          </cell>
          <cell r="AJ44">
            <v>8.75</v>
          </cell>
          <cell r="AK44">
            <v>1.7142857142857142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N45">
            <v>0</v>
          </cell>
          <cell r="O45">
            <v>0.91194799999999998</v>
          </cell>
          <cell r="P45">
            <v>14.43</v>
          </cell>
          <cell r="Q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X45">
            <v>0</v>
          </cell>
          <cell r="Y45">
            <v>2.2292999999999998</v>
          </cell>
          <cell r="Z45">
            <v>40.369999999999997</v>
          </cell>
          <cell r="AA45">
            <v>2.2292999999999998</v>
          </cell>
          <cell r="AB45">
            <v>0</v>
          </cell>
          <cell r="AC45">
            <v>0</v>
          </cell>
          <cell r="AD45">
            <v>2.5315799999999999</v>
          </cell>
          <cell r="AE45">
            <v>5.91</v>
          </cell>
          <cell r="AF45">
            <v>0.7713873176470587</v>
          </cell>
          <cell r="AH45">
            <v>0</v>
          </cell>
          <cell r="AI45">
            <v>0.4</v>
          </cell>
          <cell r="AJ45">
            <v>9.5686</v>
          </cell>
          <cell r="AK45">
            <v>7.426042553191492E-2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N46">
            <v>0</v>
          </cell>
          <cell r="O46">
            <v>0.13457</v>
          </cell>
          <cell r="P46">
            <v>18.59</v>
          </cell>
          <cell r="Q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C46">
            <v>0</v>
          </cell>
          <cell r="AD46">
            <v>0.31087900000000002</v>
          </cell>
          <cell r="AE46">
            <v>7.72</v>
          </cell>
          <cell r="AF46">
            <v>2.8527720000000034E-2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C47">
            <v>0</v>
          </cell>
          <cell r="AD47">
            <v>0.15254200000000001</v>
          </cell>
          <cell r="AE47">
            <v>16.170000000000002</v>
          </cell>
          <cell r="AF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C48">
            <v>0</v>
          </cell>
          <cell r="AD48">
            <v>0.27140500000000001</v>
          </cell>
          <cell r="AE48">
            <v>25</v>
          </cell>
          <cell r="AF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C49">
            <v>0</v>
          </cell>
          <cell r="AD49">
            <v>3.9050000000000001E-2</v>
          </cell>
          <cell r="AE49">
            <v>38.53</v>
          </cell>
          <cell r="AF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C50">
            <v>0</v>
          </cell>
          <cell r="AD50">
            <v>8.34E-4</v>
          </cell>
          <cell r="AE50">
            <v>72.94</v>
          </cell>
          <cell r="AF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95.584570302489666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P51">
            <v>0</v>
          </cell>
          <cell r="Q51">
            <v>95.164471628148149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X51">
            <v>0</v>
          </cell>
          <cell r="Y51">
            <v>0</v>
          </cell>
          <cell r="Z51">
            <v>0</v>
          </cell>
          <cell r="AA51">
            <v>13.212664123711338</v>
          </cell>
          <cell r="AC51">
            <v>0</v>
          </cell>
          <cell r="AD51">
            <v>0</v>
          </cell>
          <cell r="AE51">
            <v>0</v>
          </cell>
          <cell r="AF51">
            <v>77.644692408235301</v>
          </cell>
          <cell r="AH51">
            <v>0</v>
          </cell>
          <cell r="AI51">
            <v>0</v>
          </cell>
          <cell r="AJ51">
            <v>0</v>
          </cell>
          <cell r="AK51">
            <v>56.90307005471125</v>
          </cell>
        </row>
        <row r="52">
          <cell r="D52">
            <v>0</v>
          </cell>
          <cell r="G52">
            <v>0</v>
          </cell>
          <cell r="I52">
            <v>0</v>
          </cell>
          <cell r="L52">
            <v>0</v>
          </cell>
          <cell r="N52">
            <v>0</v>
          </cell>
          <cell r="Q52">
            <v>0</v>
          </cell>
          <cell r="S52">
            <v>0</v>
          </cell>
          <cell r="V52">
            <v>0</v>
          </cell>
          <cell r="X52">
            <v>0</v>
          </cell>
          <cell r="AA52">
            <v>0</v>
          </cell>
          <cell r="AC52">
            <v>0</v>
          </cell>
          <cell r="AF52">
            <v>0</v>
          </cell>
          <cell r="AH52">
            <v>0</v>
          </cell>
          <cell r="AK52">
            <v>0</v>
          </cell>
        </row>
        <row r="53">
          <cell r="D53" t="str">
            <v>Valuation Metrics</v>
          </cell>
          <cell r="E53">
            <v>0</v>
          </cell>
          <cell r="F53">
            <v>0</v>
          </cell>
          <cell r="G53">
            <v>0</v>
          </cell>
          <cell r="I53" t="str">
            <v>Valuation Metrics</v>
          </cell>
          <cell r="J53">
            <v>0</v>
          </cell>
          <cell r="K53">
            <v>0</v>
          </cell>
          <cell r="L53">
            <v>0</v>
          </cell>
          <cell r="N53" t="str">
            <v>Valuation Metrics</v>
          </cell>
          <cell r="O53">
            <v>0</v>
          </cell>
          <cell r="P53">
            <v>0</v>
          </cell>
          <cell r="Q53">
            <v>0</v>
          </cell>
          <cell r="S53" t="str">
            <v>Valuation Metrics</v>
          </cell>
          <cell r="T53">
            <v>0</v>
          </cell>
          <cell r="U53">
            <v>0</v>
          </cell>
          <cell r="V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C53" t="str">
            <v>Valuation Metrics</v>
          </cell>
          <cell r="AD53">
            <v>0</v>
          </cell>
          <cell r="AE53">
            <v>0</v>
          </cell>
          <cell r="AF53">
            <v>0</v>
          </cell>
          <cell r="AH53" t="str">
            <v>Valuation Metrics</v>
          </cell>
          <cell r="AI53">
            <v>0</v>
          </cell>
          <cell r="AJ53">
            <v>0</v>
          </cell>
          <cell r="AK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6356.373925115563</v>
          </cell>
          <cell r="I55">
            <v>0</v>
          </cell>
          <cell r="J55">
            <v>0</v>
          </cell>
          <cell r="K55">
            <v>0</v>
          </cell>
          <cell r="L55">
            <v>3100</v>
          </cell>
          <cell r="N55">
            <v>0</v>
          </cell>
          <cell r="O55">
            <v>0</v>
          </cell>
          <cell r="P55">
            <v>0</v>
          </cell>
          <cell r="Q55">
            <v>1284.7203669800001</v>
          </cell>
          <cell r="S55">
            <v>0</v>
          </cell>
          <cell r="T55">
            <v>0</v>
          </cell>
          <cell r="U55">
            <v>0</v>
          </cell>
          <cell r="V55">
            <v>850</v>
          </cell>
          <cell r="X55">
            <v>0</v>
          </cell>
          <cell r="Y55">
            <v>0</v>
          </cell>
          <cell r="Z55">
            <v>0</v>
          </cell>
          <cell r="AA55">
            <v>640.81420999999989</v>
          </cell>
          <cell r="AC55">
            <v>0</v>
          </cell>
          <cell r="AD55">
            <v>0</v>
          </cell>
          <cell r="AE55">
            <v>0</v>
          </cell>
          <cell r="AF55">
            <v>659.97988547</v>
          </cell>
          <cell r="AH55">
            <v>0</v>
          </cell>
          <cell r="AI55">
            <v>0</v>
          </cell>
          <cell r="AJ55">
            <v>0</v>
          </cell>
          <cell r="AK55">
            <v>668.61107314285721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6040.6669251155627</v>
          </cell>
          <cell r="I56">
            <v>0</v>
          </cell>
          <cell r="J56">
            <v>0</v>
          </cell>
          <cell r="K56">
            <v>0</v>
          </cell>
          <cell r="L56">
            <v>3100</v>
          </cell>
          <cell r="N56">
            <v>0</v>
          </cell>
          <cell r="O56">
            <v>0</v>
          </cell>
          <cell r="P56">
            <v>0</v>
          </cell>
          <cell r="Q56">
            <v>1137.44436698</v>
          </cell>
          <cell r="S56">
            <v>0</v>
          </cell>
          <cell r="T56">
            <v>0</v>
          </cell>
          <cell r="U56">
            <v>0</v>
          </cell>
          <cell r="V56">
            <v>850</v>
          </cell>
          <cell r="X56">
            <v>0</v>
          </cell>
          <cell r="Y56">
            <v>0</v>
          </cell>
          <cell r="Z56">
            <v>0</v>
          </cell>
          <cell r="AA56">
            <v>729.65620999999987</v>
          </cell>
          <cell r="AC56">
            <v>0</v>
          </cell>
          <cell r="AD56">
            <v>0</v>
          </cell>
          <cell r="AE56">
            <v>0</v>
          </cell>
          <cell r="AF56">
            <v>604.09888547000003</v>
          </cell>
          <cell r="AH56">
            <v>0</v>
          </cell>
          <cell r="AI56">
            <v>0</v>
          </cell>
          <cell r="AJ56">
            <v>0</v>
          </cell>
          <cell r="AK56">
            <v>602.76707314285716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</row>
        <row r="58">
          <cell r="D58" t="str">
            <v>Valuation Multiples</v>
          </cell>
          <cell r="E58">
            <v>0</v>
          </cell>
          <cell r="F58">
            <v>0</v>
          </cell>
          <cell r="G58">
            <v>0</v>
          </cell>
          <cell r="I58" t="str">
            <v>Valuation Multiples</v>
          </cell>
          <cell r="J58">
            <v>0</v>
          </cell>
          <cell r="K58">
            <v>0</v>
          </cell>
          <cell r="L58">
            <v>0</v>
          </cell>
          <cell r="N58" t="str">
            <v>Valuation Multiples</v>
          </cell>
          <cell r="O58">
            <v>0</v>
          </cell>
          <cell r="P58">
            <v>0</v>
          </cell>
          <cell r="Q58">
            <v>0</v>
          </cell>
          <cell r="S58" t="str">
            <v>Valuation Multiples</v>
          </cell>
          <cell r="T58">
            <v>0</v>
          </cell>
          <cell r="U58">
            <v>0</v>
          </cell>
          <cell r="V58">
            <v>0</v>
          </cell>
          <cell r="X58" t="str">
            <v>Valuation Multiples</v>
          </cell>
          <cell r="Y58">
            <v>0</v>
          </cell>
          <cell r="Z58">
            <v>0</v>
          </cell>
          <cell r="AA58">
            <v>0</v>
          </cell>
          <cell r="AC58" t="str">
            <v>Valuation Multiples</v>
          </cell>
          <cell r="AD58">
            <v>0</v>
          </cell>
          <cell r="AE58">
            <v>0</v>
          </cell>
          <cell r="AF58">
            <v>0</v>
          </cell>
          <cell r="AH58" t="str">
            <v>Valuation Multiples</v>
          </cell>
          <cell r="AI58">
            <v>0</v>
          </cell>
          <cell r="AJ58">
            <v>0</v>
          </cell>
          <cell r="AK58">
            <v>0</v>
          </cell>
        </row>
        <row r="59">
          <cell r="D59" t="str">
            <v>TTM</v>
          </cell>
          <cell r="E59">
            <v>39447</v>
          </cell>
          <cell r="F59">
            <v>39813</v>
          </cell>
          <cell r="G59">
            <v>0</v>
          </cell>
          <cell r="I59" t="str">
            <v>TTM</v>
          </cell>
          <cell r="J59">
            <v>39447</v>
          </cell>
          <cell r="K59">
            <v>39813</v>
          </cell>
          <cell r="L59">
            <v>0</v>
          </cell>
          <cell r="N59" t="str">
            <v>TTM</v>
          </cell>
          <cell r="O59">
            <v>39082</v>
          </cell>
          <cell r="P59">
            <v>39447</v>
          </cell>
          <cell r="Q59">
            <v>0</v>
          </cell>
          <cell r="S59" t="str">
            <v>TTM</v>
          </cell>
          <cell r="T59">
            <v>39447</v>
          </cell>
          <cell r="U59">
            <v>39813</v>
          </cell>
          <cell r="V59">
            <v>0</v>
          </cell>
          <cell r="X59" t="str">
            <v>TTM</v>
          </cell>
          <cell r="Y59">
            <v>39447</v>
          </cell>
          <cell r="Z59">
            <v>39813</v>
          </cell>
          <cell r="AA59">
            <v>0</v>
          </cell>
          <cell r="AC59" t="str">
            <v>TTM</v>
          </cell>
          <cell r="AD59">
            <v>39082</v>
          </cell>
          <cell r="AE59">
            <v>39447</v>
          </cell>
          <cell r="AF59">
            <v>0</v>
          </cell>
          <cell r="AH59" t="str">
            <v>TTM</v>
          </cell>
          <cell r="AI59">
            <v>39447</v>
          </cell>
          <cell r="AJ59">
            <v>39813</v>
          </cell>
          <cell r="AK59">
            <v>0</v>
          </cell>
        </row>
        <row r="60">
          <cell r="D60">
            <v>12.261653729984275</v>
          </cell>
          <cell r="E60">
            <v>9.8994869307039703</v>
          </cell>
          <cell r="F60">
            <v>8.069285232588248</v>
          </cell>
          <cell r="G60">
            <v>0</v>
          </cell>
          <cell r="I60">
            <v>13.373597929249351</v>
          </cell>
          <cell r="J60">
            <v>10.448264239973037</v>
          </cell>
          <cell r="K60">
            <v>8.1779810059795999</v>
          </cell>
          <cell r="L60">
            <v>0</v>
          </cell>
          <cell r="N60">
            <v>1.5958935013160629</v>
          </cell>
          <cell r="O60">
            <v>1.5302340154766358</v>
          </cell>
          <cell r="P60">
            <v>1.2651794106367029</v>
          </cell>
          <cell r="Q60">
            <v>0</v>
          </cell>
          <cell r="S60" t="str">
            <v>N/A</v>
          </cell>
          <cell r="T60">
            <v>12.142857142857142</v>
          </cell>
          <cell r="U60" t="str">
            <v>N/A</v>
          </cell>
          <cell r="V60">
            <v>0</v>
          </cell>
          <cell r="X60">
            <v>1.0466993495930292</v>
          </cell>
          <cell r="Y60">
            <v>1.0733450525267487</v>
          </cell>
          <cell r="Z60" t="str">
            <v>N/A</v>
          </cell>
          <cell r="AA60">
            <v>0</v>
          </cell>
          <cell r="AC60">
            <v>6.6340023222894544</v>
          </cell>
          <cell r="AD60">
            <v>5.5421916098165136</v>
          </cell>
          <cell r="AE60">
            <v>4.8327910837600001</v>
          </cell>
          <cell r="AF60">
            <v>0</v>
          </cell>
          <cell r="AH60">
            <v>2.8040242511239373</v>
          </cell>
          <cell r="AI60">
            <v>2.2399370982640545</v>
          </cell>
          <cell r="AJ60">
            <v>1.6960244038909882</v>
          </cell>
          <cell r="AK60">
            <v>0</v>
          </cell>
        </row>
        <row r="61">
          <cell r="D61">
            <v>47.032139688061527</v>
          </cell>
          <cell r="E61">
            <v>39.123490447639654</v>
          </cell>
          <cell r="F61">
            <v>30.539266557712651</v>
          </cell>
          <cell r="G61">
            <v>0</v>
          </cell>
          <cell r="I61">
            <v>43.115438108484</v>
          </cell>
          <cell r="J61">
            <v>31.664964249233911</v>
          </cell>
          <cell r="K61">
            <v>30.75396825396826</v>
          </cell>
          <cell r="L61">
            <v>0</v>
          </cell>
          <cell r="N61">
            <v>17.790636849612905</v>
          </cell>
          <cell r="O61">
            <v>17.950389277846163</v>
          </cell>
          <cell r="P61">
            <v>14.583741915788394</v>
          </cell>
          <cell r="Q61">
            <v>0</v>
          </cell>
          <cell r="S61" t="str">
            <v>N/A</v>
          </cell>
          <cell r="T61">
            <v>48.571428571428569</v>
          </cell>
          <cell r="U61" t="str">
            <v>N/A</v>
          </cell>
          <cell r="V61">
            <v>0</v>
          </cell>
          <cell r="X61">
            <v>7.8716660193755867</v>
          </cell>
          <cell r="Y61">
            <v>7.122314671560277</v>
          </cell>
          <cell r="Z61" t="str">
            <v>N/A</v>
          </cell>
          <cell r="AA61">
            <v>0</v>
          </cell>
          <cell r="AC61">
            <v>34.814366382549544</v>
          </cell>
          <cell r="AD61">
            <v>23.414685483333333</v>
          </cell>
          <cell r="AE61">
            <v>17.561014112500001</v>
          </cell>
          <cell r="AF61">
            <v>0</v>
          </cell>
          <cell r="AH61">
            <v>28.745627981441995</v>
          </cell>
          <cell r="AI61">
            <v>22.407697886351567</v>
          </cell>
          <cell r="AJ61">
            <v>15.820658087739032</v>
          </cell>
          <cell r="AK61">
            <v>0</v>
          </cell>
        </row>
        <row r="62">
          <cell r="D62">
            <v>60.219987290554847</v>
          </cell>
          <cell r="E62">
            <v>50.659736037534074</v>
          </cell>
          <cell r="F62">
            <v>39.386235411850834</v>
          </cell>
          <cell r="G62">
            <v>0</v>
          </cell>
          <cell r="I62" t="str">
            <v>N/A</v>
          </cell>
          <cell r="J62" t="str">
            <v>N/A</v>
          </cell>
          <cell r="K62" t="str">
            <v>N/A</v>
          </cell>
          <cell r="L62">
            <v>0</v>
          </cell>
          <cell r="N62">
            <v>23.302078687644723</v>
          </cell>
          <cell r="O62">
            <v>23.960825914347705</v>
          </cell>
          <cell r="P62">
            <v>19.602660352951315</v>
          </cell>
          <cell r="Q62">
            <v>0</v>
          </cell>
          <cell r="S62" t="str">
            <v>N/A</v>
          </cell>
          <cell r="T62" t="str">
            <v>N/A</v>
          </cell>
          <cell r="U62" t="str">
            <v>N/A</v>
          </cell>
          <cell r="V62">
            <v>0</v>
          </cell>
          <cell r="X62">
            <v>10.828330315801983</v>
          </cell>
          <cell r="Y62" t="str">
            <v>N/A</v>
          </cell>
          <cell r="Z62" t="str">
            <v>N/A</v>
          </cell>
          <cell r="AA62">
            <v>0</v>
          </cell>
          <cell r="AC62">
            <v>71.524850280606103</v>
          </cell>
          <cell r="AD62" t="str">
            <v>N/A</v>
          </cell>
          <cell r="AE62" t="str">
            <v>N/A</v>
          </cell>
          <cell r="AF62">
            <v>0</v>
          </cell>
          <cell r="AH62">
            <v>45.205270222203175</v>
          </cell>
          <cell r="AI62" t="str">
            <v>N/A</v>
          </cell>
          <cell r="AJ62" t="str">
            <v>N/A</v>
          </cell>
          <cell r="AK62">
            <v>0</v>
          </cell>
        </row>
        <row r="63">
          <cell r="D63">
            <v>0</v>
          </cell>
          <cell r="G63">
            <v>0</v>
          </cell>
          <cell r="I63">
            <v>0</v>
          </cell>
          <cell r="L63">
            <v>0</v>
          </cell>
          <cell r="N63">
            <v>0</v>
          </cell>
          <cell r="Q63">
            <v>0</v>
          </cell>
          <cell r="S63">
            <v>0</v>
          </cell>
          <cell r="V63">
            <v>0</v>
          </cell>
          <cell r="X63">
            <v>0</v>
          </cell>
          <cell r="AA63">
            <v>0</v>
          </cell>
          <cell r="AC63">
            <v>0</v>
          </cell>
          <cell r="AF63">
            <v>0</v>
          </cell>
          <cell r="AH63">
            <v>0</v>
          </cell>
          <cell r="AK63">
            <v>0</v>
          </cell>
        </row>
        <row r="64">
          <cell r="D64" t="str">
            <v>Lookup Variables</v>
          </cell>
          <cell r="E64">
            <v>0</v>
          </cell>
          <cell r="F64">
            <v>0</v>
          </cell>
          <cell r="G64">
            <v>0</v>
          </cell>
          <cell r="I64" t="str">
            <v>Lookup Variables</v>
          </cell>
          <cell r="J64">
            <v>0</v>
          </cell>
          <cell r="K64">
            <v>0</v>
          </cell>
          <cell r="L64">
            <v>0</v>
          </cell>
          <cell r="N64" t="str">
            <v>Lookup Variables</v>
          </cell>
          <cell r="O64">
            <v>0</v>
          </cell>
          <cell r="P64">
            <v>0</v>
          </cell>
          <cell r="Q64">
            <v>0</v>
          </cell>
          <cell r="S64" t="str">
            <v>Lookup Variables</v>
          </cell>
          <cell r="T64">
            <v>0</v>
          </cell>
          <cell r="U64">
            <v>0</v>
          </cell>
          <cell r="V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C64" t="str">
            <v>Lookup Variables</v>
          </cell>
          <cell r="AD64">
            <v>0</v>
          </cell>
          <cell r="AE64">
            <v>0</v>
          </cell>
          <cell r="AF64">
            <v>0</v>
          </cell>
          <cell r="AH64" t="str">
            <v>Lookup Variables</v>
          </cell>
          <cell r="AI64">
            <v>0</v>
          </cell>
          <cell r="AJ64">
            <v>0</v>
          </cell>
          <cell r="AK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610.20000000000005</v>
          </cell>
          <cell r="I66">
            <v>0</v>
          </cell>
          <cell r="J66">
            <v>0</v>
          </cell>
          <cell r="K66">
            <v>0</v>
          </cell>
          <cell r="L66">
            <v>296.7</v>
          </cell>
          <cell r="N66">
            <v>0</v>
          </cell>
          <cell r="O66">
            <v>0</v>
          </cell>
          <cell r="P66">
            <v>0</v>
          </cell>
          <cell r="Q66">
            <v>743.31399999999996</v>
          </cell>
          <cell r="S66">
            <v>0</v>
          </cell>
          <cell r="T66">
            <v>0</v>
          </cell>
          <cell r="U66">
            <v>0</v>
          </cell>
          <cell r="V66">
            <v>70</v>
          </cell>
          <cell r="X66">
            <v>0</v>
          </cell>
          <cell r="Y66">
            <v>0</v>
          </cell>
          <cell r="Z66">
            <v>0</v>
          </cell>
          <cell r="AA66">
            <v>679.79649999999992</v>
          </cell>
          <cell r="AC66">
            <v>0</v>
          </cell>
          <cell r="AD66">
            <v>0</v>
          </cell>
          <cell r="AE66">
            <v>0</v>
          </cell>
          <cell r="AF66">
            <v>109</v>
          </cell>
          <cell r="AH66">
            <v>0</v>
          </cell>
          <cell r="AI66">
            <v>0</v>
          </cell>
          <cell r="AJ66">
            <v>0</v>
          </cell>
          <cell r="AK66">
            <v>269.10000000000002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154.4</v>
          </cell>
          <cell r="I67">
            <v>0</v>
          </cell>
          <cell r="J67">
            <v>0</v>
          </cell>
          <cell r="K67">
            <v>0</v>
          </cell>
          <cell r="L67">
            <v>97.9</v>
          </cell>
          <cell r="N67">
            <v>0</v>
          </cell>
          <cell r="O67">
            <v>0</v>
          </cell>
          <cell r="P67">
            <v>0</v>
          </cell>
          <cell r="Q67">
            <v>63.366</v>
          </cell>
          <cell r="S67">
            <v>0</v>
          </cell>
          <cell r="T67">
            <v>0</v>
          </cell>
          <cell r="U67">
            <v>0</v>
          </cell>
          <cell r="V67">
            <v>17.5</v>
          </cell>
          <cell r="X67">
            <v>0</v>
          </cell>
          <cell r="Y67">
            <v>0</v>
          </cell>
          <cell r="Z67">
            <v>0</v>
          </cell>
          <cell r="AA67">
            <v>102.4465</v>
          </cell>
          <cell r="AC67">
            <v>0</v>
          </cell>
          <cell r="AD67">
            <v>0</v>
          </cell>
          <cell r="AE67">
            <v>0</v>
          </cell>
          <cell r="AF67">
            <v>25.8</v>
          </cell>
          <cell r="AH67">
            <v>0</v>
          </cell>
          <cell r="AI67">
            <v>0</v>
          </cell>
          <cell r="AJ67">
            <v>0</v>
          </cell>
          <cell r="AK67">
            <v>26.9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119.24</v>
          </cell>
          <cell r="I68">
            <v>0</v>
          </cell>
          <cell r="J68">
            <v>0</v>
          </cell>
          <cell r="K68">
            <v>0</v>
          </cell>
          <cell r="L68" t="str">
            <v>N/A</v>
          </cell>
          <cell r="N68">
            <v>0</v>
          </cell>
          <cell r="O68">
            <v>0</v>
          </cell>
          <cell r="P68">
            <v>0</v>
          </cell>
          <cell r="Q68">
            <v>47.471000000000004</v>
          </cell>
          <cell r="S68">
            <v>0</v>
          </cell>
          <cell r="T68">
            <v>0</v>
          </cell>
          <cell r="U68">
            <v>0</v>
          </cell>
          <cell r="V68" t="str">
            <v>N/A</v>
          </cell>
          <cell r="X68">
            <v>0</v>
          </cell>
          <cell r="Y68">
            <v>0</v>
          </cell>
          <cell r="Z68">
            <v>0</v>
          </cell>
          <cell r="AA68" t="str">
            <v>N/A</v>
          </cell>
          <cell r="AC68">
            <v>0</v>
          </cell>
          <cell r="AD68">
            <v>0</v>
          </cell>
          <cell r="AE68">
            <v>0</v>
          </cell>
          <cell r="AF68" t="str">
            <v>N/A</v>
          </cell>
          <cell r="AH68">
            <v>0</v>
          </cell>
          <cell r="AI68">
            <v>0</v>
          </cell>
          <cell r="AJ68">
            <v>0</v>
          </cell>
          <cell r="AK68" t="str">
            <v>N/A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748.6</v>
          </cell>
          <cell r="I70">
            <v>0</v>
          </cell>
          <cell r="J70">
            <v>0</v>
          </cell>
          <cell r="K70">
            <v>0</v>
          </cell>
          <cell r="L70">
            <v>379.06666666666666</v>
          </cell>
          <cell r="N70">
            <v>0</v>
          </cell>
          <cell r="O70">
            <v>0</v>
          </cell>
          <cell r="P70">
            <v>0</v>
          </cell>
          <cell r="Q70">
            <v>899.03800000000001</v>
          </cell>
          <cell r="S70">
            <v>0</v>
          </cell>
          <cell r="T70">
            <v>0</v>
          </cell>
          <cell r="U70">
            <v>0</v>
          </cell>
          <cell r="V70" t="str">
            <v>N/A</v>
          </cell>
          <cell r="X70">
            <v>0</v>
          </cell>
          <cell r="Y70">
            <v>0</v>
          </cell>
          <cell r="Z70">
            <v>0</v>
          </cell>
          <cell r="AA70" t="str">
            <v>N/A</v>
          </cell>
          <cell r="AC70">
            <v>0</v>
          </cell>
          <cell r="AD70">
            <v>0</v>
          </cell>
          <cell r="AE70">
            <v>0</v>
          </cell>
          <cell r="AF70">
            <v>125</v>
          </cell>
          <cell r="AH70">
            <v>0</v>
          </cell>
          <cell r="AI70">
            <v>0</v>
          </cell>
          <cell r="AJ70">
            <v>0</v>
          </cell>
          <cell r="AK70">
            <v>355.4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197.8</v>
          </cell>
          <cell r="I71">
            <v>0</v>
          </cell>
          <cell r="J71">
            <v>0</v>
          </cell>
          <cell r="K71">
            <v>0</v>
          </cell>
          <cell r="L71">
            <v>100.79999999999998</v>
          </cell>
          <cell r="N71">
            <v>0</v>
          </cell>
          <cell r="O71">
            <v>0</v>
          </cell>
          <cell r="P71">
            <v>0</v>
          </cell>
          <cell r="Q71">
            <v>77.994</v>
          </cell>
          <cell r="S71">
            <v>0</v>
          </cell>
          <cell r="T71">
            <v>0</v>
          </cell>
          <cell r="U71">
            <v>0</v>
          </cell>
          <cell r="V71" t="str">
            <v>N/A</v>
          </cell>
          <cell r="X71">
            <v>0</v>
          </cell>
          <cell r="Y71">
            <v>0</v>
          </cell>
          <cell r="Z71">
            <v>0</v>
          </cell>
          <cell r="AA71" t="str">
            <v>N/A</v>
          </cell>
          <cell r="AC71">
            <v>0</v>
          </cell>
          <cell r="AD71">
            <v>0</v>
          </cell>
          <cell r="AE71">
            <v>0</v>
          </cell>
          <cell r="AF71">
            <v>34.4</v>
          </cell>
          <cell r="AH71">
            <v>0</v>
          </cell>
          <cell r="AI71">
            <v>0</v>
          </cell>
          <cell r="AJ71">
            <v>0</v>
          </cell>
          <cell r="AK71">
            <v>38.1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153.37</v>
          </cell>
          <cell r="I72">
            <v>0</v>
          </cell>
          <cell r="J72">
            <v>0</v>
          </cell>
          <cell r="K72">
            <v>0</v>
          </cell>
          <cell r="L72" t="str">
            <v>N/A</v>
          </cell>
          <cell r="N72">
            <v>0</v>
          </cell>
          <cell r="O72">
            <v>0</v>
          </cell>
          <cell r="P72">
            <v>0</v>
          </cell>
          <cell r="Q72">
            <v>58.024999999999999</v>
          </cell>
          <cell r="S72">
            <v>0</v>
          </cell>
          <cell r="T72">
            <v>0</v>
          </cell>
          <cell r="U72">
            <v>0</v>
          </cell>
          <cell r="V72" t="str">
            <v>N/A</v>
          </cell>
          <cell r="X72">
            <v>0</v>
          </cell>
          <cell r="Y72">
            <v>0</v>
          </cell>
          <cell r="Z72">
            <v>0</v>
          </cell>
          <cell r="AA72" t="str">
            <v>N/A</v>
          </cell>
          <cell r="AC72">
            <v>0</v>
          </cell>
          <cell r="AD72">
            <v>0</v>
          </cell>
          <cell r="AE72">
            <v>0</v>
          </cell>
          <cell r="AF72" t="str">
            <v>N/A</v>
          </cell>
          <cell r="AH72">
            <v>0</v>
          </cell>
          <cell r="AI72">
            <v>0</v>
          </cell>
          <cell r="AJ72">
            <v>0</v>
          </cell>
          <cell r="AK72" t="str">
            <v>N/A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12.261653729984275</v>
          </cell>
          <cell r="I74">
            <v>0</v>
          </cell>
          <cell r="J74">
            <v>0</v>
          </cell>
          <cell r="K74">
            <v>0</v>
          </cell>
          <cell r="L74">
            <v>13.373597929249351</v>
          </cell>
          <cell r="N74">
            <v>0</v>
          </cell>
          <cell r="O74">
            <v>0</v>
          </cell>
          <cell r="P74">
            <v>0</v>
          </cell>
          <cell r="Q74">
            <v>1.5958935013160629</v>
          </cell>
          <cell r="S74">
            <v>0</v>
          </cell>
          <cell r="T74">
            <v>0</v>
          </cell>
          <cell r="U74">
            <v>0</v>
          </cell>
          <cell r="V74" t="str">
            <v>N/A</v>
          </cell>
          <cell r="X74">
            <v>0</v>
          </cell>
          <cell r="Y74">
            <v>0</v>
          </cell>
          <cell r="Z74">
            <v>0</v>
          </cell>
          <cell r="AA74">
            <v>1.0466993495930292</v>
          </cell>
          <cell r="AC74">
            <v>0</v>
          </cell>
          <cell r="AD74">
            <v>0</v>
          </cell>
          <cell r="AE74">
            <v>0</v>
          </cell>
          <cell r="AF74">
            <v>6.6340023222894544</v>
          </cell>
          <cell r="AH74">
            <v>0</v>
          </cell>
          <cell r="AI74">
            <v>0</v>
          </cell>
          <cell r="AJ74">
            <v>0</v>
          </cell>
          <cell r="AK74">
            <v>2.8040242511239373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47.032139688061527</v>
          </cell>
          <cell r="I75">
            <v>0</v>
          </cell>
          <cell r="J75">
            <v>0</v>
          </cell>
          <cell r="K75">
            <v>0</v>
          </cell>
          <cell r="L75">
            <v>43.115438108484</v>
          </cell>
          <cell r="N75">
            <v>0</v>
          </cell>
          <cell r="O75">
            <v>0</v>
          </cell>
          <cell r="P75">
            <v>0</v>
          </cell>
          <cell r="Q75">
            <v>17.790636849612905</v>
          </cell>
          <cell r="S75">
            <v>0</v>
          </cell>
          <cell r="T75">
            <v>0</v>
          </cell>
          <cell r="U75">
            <v>0</v>
          </cell>
          <cell r="V75" t="str">
            <v>N/A</v>
          </cell>
          <cell r="X75">
            <v>0</v>
          </cell>
          <cell r="Y75">
            <v>0</v>
          </cell>
          <cell r="Z75">
            <v>0</v>
          </cell>
          <cell r="AA75">
            <v>7.8716660193755867</v>
          </cell>
          <cell r="AC75">
            <v>0</v>
          </cell>
          <cell r="AD75">
            <v>0</v>
          </cell>
          <cell r="AE75">
            <v>0</v>
          </cell>
          <cell r="AF75">
            <v>34.814366382549544</v>
          </cell>
          <cell r="AH75">
            <v>0</v>
          </cell>
          <cell r="AI75">
            <v>0</v>
          </cell>
          <cell r="AJ75">
            <v>0</v>
          </cell>
          <cell r="AK75">
            <v>28.745627981441995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60.219987290554847</v>
          </cell>
          <cell r="I76">
            <v>0</v>
          </cell>
          <cell r="J76">
            <v>0</v>
          </cell>
          <cell r="K76">
            <v>0</v>
          </cell>
          <cell r="L76" t="str">
            <v>N/A</v>
          </cell>
          <cell r="N76">
            <v>0</v>
          </cell>
          <cell r="O76">
            <v>0</v>
          </cell>
          <cell r="P76">
            <v>0</v>
          </cell>
          <cell r="Q76">
            <v>23.302078687644723</v>
          </cell>
          <cell r="S76">
            <v>0</v>
          </cell>
          <cell r="T76">
            <v>0</v>
          </cell>
          <cell r="U76">
            <v>0</v>
          </cell>
          <cell r="V76" t="str">
            <v>N/A</v>
          </cell>
          <cell r="X76">
            <v>0</v>
          </cell>
          <cell r="Y76">
            <v>0</v>
          </cell>
          <cell r="Z76">
            <v>0</v>
          </cell>
          <cell r="AA76">
            <v>10.828330315801983</v>
          </cell>
          <cell r="AC76">
            <v>0</v>
          </cell>
          <cell r="AD76">
            <v>0</v>
          </cell>
          <cell r="AE76">
            <v>0</v>
          </cell>
          <cell r="AF76">
            <v>71.524850280606103</v>
          </cell>
          <cell r="AH76">
            <v>0</v>
          </cell>
          <cell r="AI76">
            <v>0</v>
          </cell>
          <cell r="AJ76">
            <v>0</v>
          </cell>
          <cell r="AK76">
            <v>45.205270222203175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9.8994869307039703</v>
          </cell>
          <cell r="I78">
            <v>0</v>
          </cell>
          <cell r="J78">
            <v>0</v>
          </cell>
          <cell r="K78">
            <v>0</v>
          </cell>
          <cell r="L78">
            <v>10.448264239973037</v>
          </cell>
          <cell r="N78">
            <v>0</v>
          </cell>
          <cell r="O78">
            <v>0</v>
          </cell>
          <cell r="P78">
            <v>0</v>
          </cell>
          <cell r="Q78">
            <v>1.5302340154766358</v>
          </cell>
          <cell r="S78">
            <v>0</v>
          </cell>
          <cell r="T78">
            <v>0</v>
          </cell>
          <cell r="U78">
            <v>0</v>
          </cell>
          <cell r="V78">
            <v>12.142857142857142</v>
          </cell>
          <cell r="X78">
            <v>0</v>
          </cell>
          <cell r="Y78">
            <v>0</v>
          </cell>
          <cell r="Z78">
            <v>0</v>
          </cell>
          <cell r="AA78">
            <v>1.0733450525267487</v>
          </cell>
          <cell r="AC78">
            <v>0</v>
          </cell>
          <cell r="AD78">
            <v>0</v>
          </cell>
          <cell r="AE78">
            <v>0</v>
          </cell>
          <cell r="AF78">
            <v>5.5421916098165136</v>
          </cell>
          <cell r="AH78">
            <v>0</v>
          </cell>
          <cell r="AI78">
            <v>0</v>
          </cell>
          <cell r="AJ78">
            <v>0</v>
          </cell>
          <cell r="AK78">
            <v>2.2399370982640545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39.123490447639654</v>
          </cell>
          <cell r="I79">
            <v>0</v>
          </cell>
          <cell r="J79">
            <v>0</v>
          </cell>
          <cell r="K79">
            <v>0</v>
          </cell>
          <cell r="L79">
            <v>31.664964249233911</v>
          </cell>
          <cell r="N79">
            <v>0</v>
          </cell>
          <cell r="O79">
            <v>0</v>
          </cell>
          <cell r="P79">
            <v>0</v>
          </cell>
          <cell r="Q79">
            <v>17.950389277846163</v>
          </cell>
          <cell r="S79">
            <v>0</v>
          </cell>
          <cell r="T79">
            <v>0</v>
          </cell>
          <cell r="U79">
            <v>0</v>
          </cell>
          <cell r="V79">
            <v>48.571428571428569</v>
          </cell>
          <cell r="X79">
            <v>0</v>
          </cell>
          <cell r="Y79">
            <v>0</v>
          </cell>
          <cell r="Z79">
            <v>0</v>
          </cell>
          <cell r="AA79">
            <v>7.122314671560277</v>
          </cell>
          <cell r="AC79">
            <v>0</v>
          </cell>
          <cell r="AD79">
            <v>0</v>
          </cell>
          <cell r="AE79">
            <v>0</v>
          </cell>
          <cell r="AF79">
            <v>23.414685483333333</v>
          </cell>
          <cell r="AH79">
            <v>0</v>
          </cell>
          <cell r="AI79">
            <v>0</v>
          </cell>
          <cell r="AJ79">
            <v>0</v>
          </cell>
          <cell r="AK79">
            <v>22.407697886351567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50.659736037534074</v>
          </cell>
          <cell r="I80">
            <v>0</v>
          </cell>
          <cell r="J80">
            <v>0</v>
          </cell>
          <cell r="K80">
            <v>0</v>
          </cell>
          <cell r="L80" t="str">
            <v>N/A</v>
          </cell>
          <cell r="N80">
            <v>0</v>
          </cell>
          <cell r="O80">
            <v>0</v>
          </cell>
          <cell r="P80">
            <v>0</v>
          </cell>
          <cell r="Q80">
            <v>23.960825914347705</v>
          </cell>
          <cell r="S80">
            <v>0</v>
          </cell>
          <cell r="T80">
            <v>0</v>
          </cell>
          <cell r="U80">
            <v>0</v>
          </cell>
          <cell r="V80" t="str">
            <v>N/A</v>
          </cell>
          <cell r="X80">
            <v>0</v>
          </cell>
          <cell r="Y80">
            <v>0</v>
          </cell>
          <cell r="Z80">
            <v>0</v>
          </cell>
          <cell r="AA80" t="str">
            <v>N/A</v>
          </cell>
          <cell r="AC80">
            <v>0</v>
          </cell>
          <cell r="AD80">
            <v>0</v>
          </cell>
          <cell r="AE80">
            <v>0</v>
          </cell>
          <cell r="AF80" t="str">
            <v>N/A</v>
          </cell>
          <cell r="AH80">
            <v>0</v>
          </cell>
          <cell r="AI80">
            <v>0</v>
          </cell>
          <cell r="AJ80">
            <v>0</v>
          </cell>
          <cell r="AK80" t="str">
            <v>N/A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8.069285232588248</v>
          </cell>
          <cell r="I82">
            <v>0</v>
          </cell>
          <cell r="J82">
            <v>0</v>
          </cell>
          <cell r="K82">
            <v>0</v>
          </cell>
          <cell r="L82">
            <v>8.1779810059795999</v>
          </cell>
          <cell r="N82">
            <v>0</v>
          </cell>
          <cell r="O82">
            <v>0</v>
          </cell>
          <cell r="P82">
            <v>0</v>
          </cell>
          <cell r="Q82">
            <v>1.2651794106367029</v>
          </cell>
          <cell r="S82">
            <v>0</v>
          </cell>
          <cell r="T82">
            <v>0</v>
          </cell>
          <cell r="U82">
            <v>0</v>
          </cell>
          <cell r="V82" t="str">
            <v>N/A</v>
          </cell>
          <cell r="X82">
            <v>0</v>
          </cell>
          <cell r="Y82">
            <v>0</v>
          </cell>
          <cell r="Z82">
            <v>0</v>
          </cell>
          <cell r="AA82" t="str">
            <v>N/A</v>
          </cell>
          <cell r="AC82">
            <v>0</v>
          </cell>
          <cell r="AD82">
            <v>0</v>
          </cell>
          <cell r="AE82">
            <v>0</v>
          </cell>
          <cell r="AF82">
            <v>4.8327910837600001</v>
          </cell>
          <cell r="AH82">
            <v>0</v>
          </cell>
          <cell r="AI82">
            <v>0</v>
          </cell>
          <cell r="AJ82">
            <v>0</v>
          </cell>
          <cell r="AK82">
            <v>1.6960244038909882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30.539266557712651</v>
          </cell>
          <cell r="I83">
            <v>0</v>
          </cell>
          <cell r="J83">
            <v>0</v>
          </cell>
          <cell r="K83">
            <v>0</v>
          </cell>
          <cell r="L83">
            <v>30.75396825396826</v>
          </cell>
          <cell r="N83">
            <v>0</v>
          </cell>
          <cell r="O83">
            <v>0</v>
          </cell>
          <cell r="P83">
            <v>0</v>
          </cell>
          <cell r="Q83">
            <v>14.583741915788394</v>
          </cell>
          <cell r="S83">
            <v>0</v>
          </cell>
          <cell r="T83">
            <v>0</v>
          </cell>
          <cell r="U83">
            <v>0</v>
          </cell>
          <cell r="V83" t="str">
            <v>N/A</v>
          </cell>
          <cell r="X83">
            <v>0</v>
          </cell>
          <cell r="Y83">
            <v>0</v>
          </cell>
          <cell r="Z83">
            <v>0</v>
          </cell>
          <cell r="AA83" t="str">
            <v>N/A</v>
          </cell>
          <cell r="AC83">
            <v>0</v>
          </cell>
          <cell r="AD83">
            <v>0</v>
          </cell>
          <cell r="AE83">
            <v>0</v>
          </cell>
          <cell r="AF83">
            <v>17.561014112500001</v>
          </cell>
          <cell r="AH83">
            <v>0</v>
          </cell>
          <cell r="AI83">
            <v>0</v>
          </cell>
          <cell r="AJ83">
            <v>0</v>
          </cell>
          <cell r="AK83">
            <v>15.820658087739032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39.386235411850834</v>
          </cell>
          <cell r="I84">
            <v>0</v>
          </cell>
          <cell r="J84">
            <v>0</v>
          </cell>
          <cell r="K84">
            <v>0</v>
          </cell>
          <cell r="L84" t="str">
            <v>N/A</v>
          </cell>
          <cell r="N84">
            <v>0</v>
          </cell>
          <cell r="O84">
            <v>0</v>
          </cell>
          <cell r="P84">
            <v>0</v>
          </cell>
          <cell r="Q84">
            <v>19.602660352951315</v>
          </cell>
          <cell r="S84">
            <v>0</v>
          </cell>
          <cell r="T84">
            <v>0</v>
          </cell>
          <cell r="U84">
            <v>0</v>
          </cell>
          <cell r="V84" t="str">
            <v>N/A</v>
          </cell>
          <cell r="X84">
            <v>0</v>
          </cell>
          <cell r="Y84">
            <v>0</v>
          </cell>
          <cell r="Z84">
            <v>0</v>
          </cell>
          <cell r="AA84" t="str">
            <v>N/A</v>
          </cell>
          <cell r="AC84">
            <v>0</v>
          </cell>
          <cell r="AD84">
            <v>0</v>
          </cell>
          <cell r="AE84">
            <v>0</v>
          </cell>
          <cell r="AF84" t="str">
            <v>N/A</v>
          </cell>
          <cell r="AH84">
            <v>0</v>
          </cell>
          <cell r="AI84">
            <v>0</v>
          </cell>
          <cell r="AJ84">
            <v>0</v>
          </cell>
          <cell r="AK84" t="str">
            <v>N/A</v>
          </cell>
        </row>
      </sheetData>
      <sheetData sheetId="12"/>
      <sheetData sheetId="13">
        <row r="4">
          <cell r="P4">
            <v>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Revenue Build"/>
      <sheetName val="Expense Build"/>
      <sheetName val="Operating Model"/>
      <sheetName val="Valuation Summary"/>
      <sheetName val="Valuation Graph"/>
      <sheetName val="Public Comps"/>
      <sheetName val="Public-Comps-Data"/>
      <sheetName val="YHOO-Equity-Interests"/>
      <sheetName val="YHOO-NOLs"/>
      <sheetName val="M&amp;A-Comps"/>
      <sheetName val="M&amp;A-Comps-Data"/>
      <sheetName val="M&amp;A-Premiums"/>
      <sheetName val="DCF"/>
      <sheetName val="WACC"/>
      <sheetName val="Future-Share-Price"/>
      <sheetName val="Sum-of-Parts"/>
      <sheetName val="Liquidation"/>
      <sheetName val="Share-Calculations"/>
    </sheetNames>
    <sheetDataSet>
      <sheetData sheetId="0">
        <row r="12">
          <cell r="L12" t="str">
            <v>TTM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A8C0-CA62-49AC-B4F4-0C8DD2ED7177}">
  <sheetPr codeName="Sheet49">
    <tabColor theme="1"/>
  </sheetPr>
  <dimension ref="A1:I90"/>
  <sheetViews>
    <sheetView showGridLines="0" zoomScaleNormal="100" workbookViewId="0">
      <pane xSplit="4" ySplit="3" topLeftCell="E63" activePane="bottomRight" state="frozen"/>
      <selection activeCell="E130" sqref="E130"/>
      <selection pane="topRight" activeCell="E130" sqref="E130"/>
      <selection pane="bottomLeft" activeCell="E130" sqref="E130"/>
      <selection pane="bottomRight" activeCell="E87" sqref="E87"/>
    </sheetView>
  </sheetViews>
  <sheetFormatPr defaultColWidth="0" defaultRowHeight="14.4" x14ac:dyDescent="0.3"/>
  <cols>
    <col min="1" max="1" width="2.88671875" style="10" bestFit="1" customWidth="1"/>
    <col min="2" max="2" width="2.33203125" style="10" customWidth="1"/>
    <col min="3" max="3" width="34.33203125" style="4" customWidth="1"/>
    <col min="4" max="4" width="13.5546875" style="4" bestFit="1" customWidth="1"/>
    <col min="5" max="8" width="15.33203125" style="4" bestFit="1" customWidth="1"/>
    <col min="9" max="9" width="9.109375" style="4" customWidth="1"/>
    <col min="10" max="98" width="0" style="4" hidden="1" customWidth="1"/>
    <col min="99" max="16384" width="0" style="4" hidden="1"/>
  </cols>
  <sheetData>
    <row r="1" spans="1:9" ht="63" customHeight="1" x14ac:dyDescent="0.3">
      <c r="A1" s="4"/>
      <c r="B1" s="4"/>
      <c r="C1" s="122"/>
    </row>
    <row r="2" spans="1:9" x14ac:dyDescent="0.3">
      <c r="A2" s="4"/>
      <c r="B2" s="4"/>
      <c r="E2" s="163" t="s">
        <v>122</v>
      </c>
      <c r="F2" s="163" t="s">
        <v>122</v>
      </c>
      <c r="G2" s="163" t="s">
        <v>122</v>
      </c>
      <c r="H2" s="163" t="s">
        <v>122</v>
      </c>
    </row>
    <row r="3" spans="1:9" x14ac:dyDescent="0.3">
      <c r="A3" s="4"/>
      <c r="B3" s="27"/>
      <c r="C3" s="27"/>
      <c r="D3" s="65" t="s">
        <v>28</v>
      </c>
      <c r="E3" s="67">
        <v>2015</v>
      </c>
      <c r="F3" s="67">
        <v>2016</v>
      </c>
      <c r="G3" s="67">
        <v>2017</v>
      </c>
      <c r="H3" s="67">
        <v>2018</v>
      </c>
    </row>
    <row r="4" spans="1:9" x14ac:dyDescent="0.3">
      <c r="A4" s="4"/>
      <c r="B4" s="13" t="s">
        <v>44</v>
      </c>
      <c r="C4" s="12"/>
      <c r="D4" s="11"/>
      <c r="E4" s="64"/>
      <c r="F4" s="64"/>
      <c r="G4" s="64"/>
      <c r="H4" s="64"/>
    </row>
    <row r="5" spans="1:9" ht="15" thickBot="1" x14ac:dyDescent="0.35">
      <c r="A5" s="55"/>
      <c r="B5" s="55"/>
      <c r="C5" s="53" t="s">
        <v>45</v>
      </c>
      <c r="D5" s="52" t="s">
        <v>6</v>
      </c>
      <c r="E5" s="80">
        <v>249785250</v>
      </c>
      <c r="F5" s="80">
        <v>313890564.00000006</v>
      </c>
      <c r="G5" s="80">
        <v>353013933.48000008</v>
      </c>
      <c r="H5" s="80">
        <v>418687514.1540001</v>
      </c>
      <c r="I5" s="44"/>
    </row>
    <row r="6" spans="1:9" x14ac:dyDescent="0.3">
      <c r="B6" s="126"/>
      <c r="C6" s="79" t="s">
        <v>46</v>
      </c>
      <c r="D6" s="127" t="s">
        <v>23</v>
      </c>
      <c r="E6" s="117">
        <v>121550</v>
      </c>
      <c r="F6" s="117">
        <v>146870</v>
      </c>
      <c r="G6" s="117">
        <v>154370</v>
      </c>
      <c r="H6" s="117">
        <v>174370</v>
      </c>
      <c r="I6" s="44"/>
    </row>
    <row r="7" spans="1:9" s="125" customFormat="1" x14ac:dyDescent="0.3">
      <c r="A7" s="123"/>
      <c r="B7" s="124"/>
      <c r="C7" s="84"/>
      <c r="D7" s="85"/>
      <c r="E7" s="121"/>
      <c r="F7" s="86"/>
      <c r="G7" s="86"/>
      <c r="H7" s="86"/>
    </row>
    <row r="8" spans="1:9" x14ac:dyDescent="0.3">
      <c r="B8" s="40"/>
      <c r="C8" s="7" t="s">
        <v>47</v>
      </c>
      <c r="D8" s="16" t="s">
        <v>6</v>
      </c>
      <c r="E8" s="88">
        <v>-60114983.5</v>
      </c>
      <c r="F8" s="88">
        <v>-76149850.826400012</v>
      </c>
      <c r="G8" s="88">
        <v>-83452493.874672011</v>
      </c>
      <c r="H8" s="88">
        <v>-100624565.90167803</v>
      </c>
      <c r="I8" s="44"/>
    </row>
    <row r="9" spans="1:9" x14ac:dyDescent="0.3">
      <c r="B9" s="63"/>
      <c r="C9" s="62" t="s">
        <v>34</v>
      </c>
      <c r="D9" s="6" t="s">
        <v>6</v>
      </c>
      <c r="E9" s="87">
        <v>-58449748.5</v>
      </c>
      <c r="F9" s="87">
        <v>-74580398.006400019</v>
      </c>
      <c r="G9" s="87">
        <v>-81334410.273792014</v>
      </c>
      <c r="H9" s="87">
        <v>-97972878.312036023</v>
      </c>
      <c r="I9" s="44"/>
    </row>
    <row r="10" spans="1:9" x14ac:dyDescent="0.3">
      <c r="B10" s="63"/>
      <c r="C10" s="62" t="s">
        <v>35</v>
      </c>
      <c r="D10" s="6" t="s">
        <v>6</v>
      </c>
      <c r="E10" s="87">
        <v>-1665235</v>
      </c>
      <c r="F10" s="87">
        <v>-1569452.8200000003</v>
      </c>
      <c r="G10" s="87">
        <v>-2118083.6008800003</v>
      </c>
      <c r="H10" s="87">
        <v>-2651687.5896420004</v>
      </c>
      <c r="I10" s="70"/>
    </row>
    <row r="11" spans="1:9" x14ac:dyDescent="0.3">
      <c r="B11" s="40"/>
      <c r="C11" s="49"/>
      <c r="D11" s="51"/>
      <c r="E11" s="44"/>
      <c r="F11" s="44"/>
      <c r="G11" s="44"/>
      <c r="H11" s="44"/>
      <c r="I11" s="44"/>
    </row>
    <row r="12" spans="1:9" ht="15" thickBot="1" x14ac:dyDescent="0.35">
      <c r="B12" s="40"/>
      <c r="C12" s="53" t="s">
        <v>50</v>
      </c>
      <c r="D12" s="52" t="s">
        <v>6</v>
      </c>
      <c r="E12" s="80">
        <v>189670266.5</v>
      </c>
      <c r="F12" s="80">
        <v>237740713.17360005</v>
      </c>
      <c r="G12" s="80">
        <v>269561439.60532808</v>
      </c>
      <c r="H12" s="80">
        <v>318062948.25232208</v>
      </c>
      <c r="I12" s="44"/>
    </row>
    <row r="13" spans="1:9" x14ac:dyDescent="0.3">
      <c r="B13" s="40"/>
      <c r="C13" s="49"/>
      <c r="D13" s="17"/>
      <c r="E13" s="44"/>
      <c r="F13" s="44"/>
      <c r="G13" s="44"/>
      <c r="H13" s="44"/>
      <c r="I13" s="44"/>
    </row>
    <row r="14" spans="1:9" x14ac:dyDescent="0.3">
      <c r="B14" s="40"/>
      <c r="C14" s="7" t="s">
        <v>36</v>
      </c>
      <c r="D14" s="16" t="s">
        <v>6</v>
      </c>
      <c r="E14" s="89">
        <v>-149246862.34999996</v>
      </c>
      <c r="F14" s="89">
        <v>-181764456.79440004</v>
      </c>
      <c r="G14" s="89">
        <v>-208785041.97007602</v>
      </c>
      <c r="H14" s="89">
        <v>-246094437.33993307</v>
      </c>
      <c r="I14" s="44"/>
    </row>
    <row r="15" spans="1:9" x14ac:dyDescent="0.3">
      <c r="B15" s="40"/>
      <c r="C15" s="91"/>
      <c r="D15" s="17"/>
      <c r="E15" s="44">
        <v>0.98</v>
      </c>
      <c r="F15" s="44"/>
      <c r="G15" s="44"/>
      <c r="H15" s="44"/>
      <c r="I15" s="44"/>
    </row>
    <row r="16" spans="1:9" x14ac:dyDescent="0.3">
      <c r="B16" s="126"/>
      <c r="C16" s="79" t="s">
        <v>51</v>
      </c>
      <c r="D16" s="127" t="s">
        <v>6</v>
      </c>
      <c r="E16" s="117">
        <v>-143226862.34999996</v>
      </c>
      <c r="F16" s="117">
        <v>-174083706.79440004</v>
      </c>
      <c r="G16" s="117">
        <v>-200759023.97007602</v>
      </c>
      <c r="H16" s="117">
        <v>-236349101.73993307</v>
      </c>
      <c r="I16" s="44"/>
    </row>
    <row r="17" spans="1:9" x14ac:dyDescent="0.3">
      <c r="B17" s="126"/>
      <c r="C17" s="79" t="s">
        <v>52</v>
      </c>
      <c r="D17" s="127" t="s">
        <v>6</v>
      </c>
      <c r="E17" s="117">
        <v>-6020000</v>
      </c>
      <c r="F17" s="117">
        <v>-7680750</v>
      </c>
      <c r="G17" s="117">
        <v>-8026018</v>
      </c>
      <c r="H17" s="117">
        <v>-9745335.5999999996</v>
      </c>
      <c r="I17" s="44"/>
    </row>
    <row r="18" spans="1:9" x14ac:dyDescent="0.3">
      <c r="B18" s="40"/>
      <c r="C18" s="129" t="s">
        <v>53</v>
      </c>
      <c r="D18" s="130" t="s">
        <v>23</v>
      </c>
      <c r="E18" s="3">
        <v>172</v>
      </c>
      <c r="F18" s="3">
        <v>210</v>
      </c>
      <c r="G18" s="3">
        <v>211</v>
      </c>
      <c r="H18" s="3">
        <v>244</v>
      </c>
      <c r="I18" s="44"/>
    </row>
    <row r="19" spans="1:9" x14ac:dyDescent="0.3">
      <c r="B19" s="40"/>
      <c r="C19" s="27"/>
      <c r="D19" s="17"/>
      <c r="E19" s="44"/>
      <c r="F19" s="44"/>
      <c r="G19" s="44"/>
      <c r="H19" s="44"/>
      <c r="I19" s="44"/>
    </row>
    <row r="20" spans="1:9" ht="15" thickBot="1" x14ac:dyDescent="0.35">
      <c r="B20" s="40"/>
      <c r="C20" s="53" t="s">
        <v>54</v>
      </c>
      <c r="D20" s="52" t="s">
        <v>6</v>
      </c>
      <c r="E20" s="83">
        <v>40423404.150000036</v>
      </c>
      <c r="F20" s="83">
        <v>55976256.379200011</v>
      </c>
      <c r="G20" s="83">
        <v>60776397.635252059</v>
      </c>
      <c r="H20" s="83">
        <v>71968510.91238901</v>
      </c>
      <c r="I20" s="44"/>
    </row>
    <row r="21" spans="1:9" x14ac:dyDescent="0.3">
      <c r="B21" s="40"/>
      <c r="C21" s="27"/>
      <c r="D21" s="17"/>
      <c r="E21" s="44"/>
      <c r="F21" s="44"/>
      <c r="G21" s="44"/>
      <c r="H21" s="44"/>
      <c r="I21" s="44"/>
    </row>
    <row r="22" spans="1:9" x14ac:dyDescent="0.3">
      <c r="B22" s="40"/>
      <c r="C22" s="7" t="s">
        <v>56</v>
      </c>
      <c r="D22" s="16" t="s">
        <v>6</v>
      </c>
      <c r="E22" s="89">
        <v>-19277517.375</v>
      </c>
      <c r="F22" s="89">
        <v>-22537633.996000003</v>
      </c>
      <c r="G22" s="89">
        <v>-26102115.801748</v>
      </c>
      <c r="H22" s="89">
        <v>-29072443.525827605</v>
      </c>
      <c r="I22" s="44"/>
    </row>
    <row r="23" spans="1:9" x14ac:dyDescent="0.3">
      <c r="B23" s="40"/>
      <c r="C23" s="27"/>
      <c r="D23" s="17"/>
      <c r="E23" s="44"/>
      <c r="F23" s="44"/>
      <c r="G23" s="44"/>
      <c r="H23" s="44"/>
      <c r="I23" s="44"/>
    </row>
    <row r="24" spans="1:9" x14ac:dyDescent="0.3">
      <c r="B24" s="40"/>
      <c r="C24" s="7" t="s">
        <v>57</v>
      </c>
      <c r="D24" s="16" t="s">
        <v>6</v>
      </c>
      <c r="E24" s="89">
        <v>-10441128</v>
      </c>
      <c r="F24" s="89">
        <v>-13126311.935200002</v>
      </c>
      <c r="G24" s="89">
        <v>-16031489.129236002</v>
      </c>
      <c r="H24" s="89">
        <v>-18181382.322696604</v>
      </c>
      <c r="I24" s="44"/>
    </row>
    <row r="25" spans="1:9" s="18" customFormat="1" x14ac:dyDescent="0.3">
      <c r="A25" s="20"/>
      <c r="B25" s="55"/>
      <c r="C25" s="22" t="s">
        <v>52</v>
      </c>
      <c r="D25" s="60" t="s">
        <v>6</v>
      </c>
      <c r="E25" s="90">
        <v>-2448000</v>
      </c>
      <c r="F25" s="90">
        <v>-3144592</v>
      </c>
      <c r="G25" s="90">
        <v>-3428891.7039999999</v>
      </c>
      <c r="H25" s="90">
        <v>-3987875.5928759994</v>
      </c>
      <c r="I25" s="77"/>
    </row>
    <row r="26" spans="1:9" x14ac:dyDescent="0.3">
      <c r="B26" s="40"/>
      <c r="C26" s="129" t="s">
        <v>53</v>
      </c>
      <c r="D26" s="130" t="s">
        <v>23</v>
      </c>
      <c r="E26" s="44">
        <v>36</v>
      </c>
      <c r="F26" s="44">
        <v>44</v>
      </c>
      <c r="G26" s="44">
        <v>46</v>
      </c>
      <c r="H26" s="44">
        <v>51</v>
      </c>
      <c r="I26" s="44"/>
    </row>
    <row r="27" spans="1:9" s="18" customFormat="1" x14ac:dyDescent="0.3">
      <c r="A27" s="20"/>
      <c r="B27" s="55"/>
      <c r="C27" s="22" t="s">
        <v>58</v>
      </c>
      <c r="D27" s="60" t="s">
        <v>6</v>
      </c>
      <c r="E27" s="90">
        <v>-4745919.75</v>
      </c>
      <c r="F27" s="90">
        <v>-5650030.1520000007</v>
      </c>
      <c r="G27" s="90">
        <v>-7413292.6030800017</v>
      </c>
      <c r="H27" s="90">
        <v>-8373750.2830800023</v>
      </c>
      <c r="I27" s="77"/>
    </row>
    <row r="28" spans="1:9" s="18" customFormat="1" x14ac:dyDescent="0.3">
      <c r="A28" s="20"/>
      <c r="B28" s="55"/>
      <c r="C28" s="22" t="s">
        <v>59</v>
      </c>
      <c r="D28" s="60" t="s">
        <v>6</v>
      </c>
      <c r="E28" s="90">
        <v>-2747637.75</v>
      </c>
      <c r="F28" s="90">
        <v>-3766686.7680000006</v>
      </c>
      <c r="G28" s="90">
        <v>-4659783.9219360007</v>
      </c>
      <c r="H28" s="90">
        <v>-5233593.9269250017</v>
      </c>
      <c r="I28" s="77"/>
    </row>
    <row r="29" spans="1:9" s="18" customFormat="1" x14ac:dyDescent="0.3">
      <c r="A29" s="20"/>
      <c r="B29" s="55"/>
      <c r="C29" s="22" t="s">
        <v>27</v>
      </c>
      <c r="D29" s="60" t="s">
        <v>6</v>
      </c>
      <c r="E29" s="90">
        <v>-499570.5</v>
      </c>
      <c r="F29" s="90">
        <v>-565003.01520000014</v>
      </c>
      <c r="G29" s="90">
        <v>-529520.90022000019</v>
      </c>
      <c r="H29" s="90">
        <v>-586162.51981560013</v>
      </c>
      <c r="I29" s="77"/>
    </row>
    <row r="30" spans="1:9" x14ac:dyDescent="0.3">
      <c r="B30" s="59"/>
      <c r="C30" s="14"/>
      <c r="D30" s="33"/>
      <c r="E30" s="44"/>
      <c r="F30" s="44"/>
      <c r="G30" s="44"/>
      <c r="H30" s="44"/>
      <c r="I30" s="44"/>
    </row>
    <row r="31" spans="1:9" x14ac:dyDescent="0.3">
      <c r="B31" s="40"/>
      <c r="C31" s="7" t="s">
        <v>60</v>
      </c>
      <c r="D31" s="16" t="s">
        <v>6</v>
      </c>
      <c r="E31" s="89">
        <v>-8836389.375</v>
      </c>
      <c r="F31" s="89">
        <v>-9411322.060800001</v>
      </c>
      <c r="G31" s="89">
        <v>-10070626.672512</v>
      </c>
      <c r="H31" s="89">
        <v>-10891061.203131001</v>
      </c>
      <c r="I31" s="44"/>
    </row>
    <row r="32" spans="1:9" s="18" customFormat="1" x14ac:dyDescent="0.3">
      <c r="A32" s="20"/>
      <c r="B32" s="55"/>
      <c r="C32" s="22" t="s">
        <v>52</v>
      </c>
      <c r="D32" s="60" t="s">
        <v>6</v>
      </c>
      <c r="E32" s="90">
        <v>-4743000</v>
      </c>
      <c r="F32" s="90">
        <v>-4824090</v>
      </c>
      <c r="G32" s="90">
        <v>-5211705.6315000001</v>
      </c>
      <c r="H32" s="90">
        <v>-5635366.8634800008</v>
      </c>
      <c r="I32" s="77"/>
    </row>
    <row r="33" spans="1:9" x14ac:dyDescent="0.3">
      <c r="B33" s="40"/>
      <c r="C33" s="129" t="s">
        <v>53</v>
      </c>
      <c r="D33" s="130" t="s">
        <v>23</v>
      </c>
      <c r="E33" s="3">
        <v>31</v>
      </c>
      <c r="F33" s="3">
        <v>30</v>
      </c>
      <c r="G33" s="3">
        <v>31</v>
      </c>
      <c r="H33" s="3">
        <v>32</v>
      </c>
      <c r="I33" s="44"/>
    </row>
    <row r="34" spans="1:9" s="128" customFormat="1" x14ac:dyDescent="0.3">
      <c r="A34" s="20"/>
      <c r="B34" s="55"/>
      <c r="C34" s="22" t="s">
        <v>139</v>
      </c>
      <c r="D34" s="60" t="s">
        <v>6</v>
      </c>
      <c r="E34" s="90">
        <v>-1680000</v>
      </c>
      <c r="F34" s="90">
        <v>-1764000</v>
      </c>
      <c r="G34" s="90">
        <v>-1834560</v>
      </c>
      <c r="H34" s="90">
        <v>-1917115.2</v>
      </c>
      <c r="I34" s="44"/>
    </row>
    <row r="35" spans="1:9" x14ac:dyDescent="0.3">
      <c r="B35" s="40"/>
      <c r="C35" s="129" t="s">
        <v>140</v>
      </c>
      <c r="D35" s="130" t="s">
        <v>23</v>
      </c>
      <c r="E35" s="3">
        <v>4</v>
      </c>
      <c r="F35" s="3">
        <v>4</v>
      </c>
      <c r="G35" s="3">
        <v>4</v>
      </c>
      <c r="H35" s="3">
        <v>4</v>
      </c>
      <c r="I35" s="44"/>
    </row>
    <row r="36" spans="1:9" s="18" customFormat="1" x14ac:dyDescent="0.3">
      <c r="A36" s="20"/>
      <c r="B36" s="55"/>
      <c r="C36" s="22" t="s">
        <v>61</v>
      </c>
      <c r="D36" s="60" t="s">
        <v>6</v>
      </c>
      <c r="E36" s="90">
        <v>-540000</v>
      </c>
      <c r="F36" s="90">
        <v>-563220</v>
      </c>
      <c r="G36" s="90">
        <v>-588564.89999999991</v>
      </c>
      <c r="H36" s="90">
        <v>-617110.29764999985</v>
      </c>
      <c r="I36" s="77"/>
    </row>
    <row r="37" spans="1:9" s="18" customFormat="1" x14ac:dyDescent="0.3">
      <c r="A37" s="20"/>
      <c r="B37" s="55"/>
      <c r="C37" s="22" t="s">
        <v>62</v>
      </c>
      <c r="D37" s="60" t="s">
        <v>6</v>
      </c>
      <c r="E37" s="90">
        <v>-1873389.375</v>
      </c>
      <c r="F37" s="90">
        <v>-2260012.0608000006</v>
      </c>
      <c r="G37" s="90">
        <v>-2435796.1410120004</v>
      </c>
      <c r="H37" s="90">
        <v>-2721468.8420010004</v>
      </c>
      <c r="I37" s="77"/>
    </row>
    <row r="38" spans="1:9" x14ac:dyDescent="0.3">
      <c r="B38" s="59"/>
      <c r="C38" s="14"/>
      <c r="D38" s="33"/>
      <c r="E38" s="131"/>
      <c r="F38" s="131"/>
      <c r="G38" s="131"/>
      <c r="H38" s="131"/>
      <c r="I38" s="44"/>
    </row>
    <row r="39" spans="1:9" ht="15" thickBot="1" x14ac:dyDescent="0.35">
      <c r="B39" s="55"/>
      <c r="C39" s="53" t="s">
        <v>1</v>
      </c>
      <c r="D39" s="52" t="s">
        <v>6</v>
      </c>
      <c r="E39" s="83">
        <v>21145886.775000036</v>
      </c>
      <c r="F39" s="83">
        <v>33438622.383200008</v>
      </c>
      <c r="G39" s="83">
        <v>34674281.833504058</v>
      </c>
      <c r="H39" s="83">
        <v>42896067.386561409</v>
      </c>
      <c r="I39" s="44"/>
    </row>
    <row r="40" spans="1:9" x14ac:dyDescent="0.3">
      <c r="B40" s="40"/>
      <c r="C40" s="27"/>
      <c r="D40" s="17"/>
      <c r="E40" s="44"/>
      <c r="F40" s="44"/>
      <c r="G40" s="44"/>
      <c r="H40" s="44"/>
      <c r="I40" s="44"/>
    </row>
    <row r="41" spans="1:9" s="18" customFormat="1" x14ac:dyDescent="0.3">
      <c r="A41" s="20"/>
      <c r="B41" s="55"/>
      <c r="C41" s="49" t="s">
        <v>21</v>
      </c>
      <c r="D41" s="21" t="s">
        <v>6</v>
      </c>
      <c r="E41" s="90">
        <v>-4242317.1459139902</v>
      </c>
      <c r="F41" s="90">
        <v>-4534028.0673200004</v>
      </c>
      <c r="G41" s="90">
        <v>-4946712.8342455998</v>
      </c>
      <c r="H41" s="90">
        <v>-5525365.6898205504</v>
      </c>
      <c r="I41" s="77"/>
    </row>
    <row r="42" spans="1:9" x14ac:dyDescent="0.3">
      <c r="B42" s="40"/>
      <c r="C42" s="27"/>
      <c r="D42" s="17"/>
      <c r="E42" s="44"/>
      <c r="F42" s="44"/>
      <c r="G42" s="44"/>
      <c r="H42" s="44"/>
      <c r="I42" s="44"/>
    </row>
    <row r="43" spans="1:9" ht="15" thickBot="1" x14ac:dyDescent="0.35">
      <c r="B43" s="55"/>
      <c r="C43" s="53" t="s">
        <v>11</v>
      </c>
      <c r="D43" s="52" t="s">
        <v>6</v>
      </c>
      <c r="E43" s="83">
        <v>16903569.629086047</v>
      </c>
      <c r="F43" s="83">
        <v>28904594.315880008</v>
      </c>
      <c r="G43" s="83">
        <v>29727568.999258459</v>
      </c>
      <c r="H43" s="83">
        <v>37370701.696740858</v>
      </c>
      <c r="I43" s="44"/>
    </row>
    <row r="44" spans="1:9" x14ac:dyDescent="0.3">
      <c r="B44" s="40"/>
      <c r="C44" s="27"/>
      <c r="D44" s="17"/>
      <c r="E44" s="44"/>
      <c r="F44" s="44"/>
      <c r="G44" s="44"/>
      <c r="H44" s="44"/>
      <c r="I44" s="44"/>
    </row>
    <row r="45" spans="1:9" x14ac:dyDescent="0.3">
      <c r="B45" s="40"/>
      <c r="C45" s="50" t="s">
        <v>63</v>
      </c>
      <c r="D45" s="16" t="s">
        <v>6</v>
      </c>
      <c r="E45" s="88">
        <v>-4128014.875000007</v>
      </c>
      <c r="F45" s="88">
        <v>-8937381.8114640024</v>
      </c>
      <c r="G45" s="88">
        <v>-6148781.1006033216</v>
      </c>
      <c r="H45" s="88">
        <v>-4540838.144577804</v>
      </c>
      <c r="I45" s="44"/>
    </row>
    <row r="46" spans="1:9" x14ac:dyDescent="0.3">
      <c r="B46" s="40"/>
      <c r="C46" s="19" t="s">
        <v>65</v>
      </c>
      <c r="D46" s="17" t="s">
        <v>6</v>
      </c>
      <c r="E46" s="87">
        <v>101162.48</v>
      </c>
      <c r="F46" s="87">
        <v>91046.232000000004</v>
      </c>
      <c r="G46" s="87">
        <v>924772.39343150659</v>
      </c>
      <c r="H46" s="87">
        <v>606689.94180956518</v>
      </c>
      <c r="I46" s="44"/>
    </row>
    <row r="47" spans="1:9" x14ac:dyDescent="0.3">
      <c r="B47" s="40"/>
      <c r="C47" s="19" t="s">
        <v>64</v>
      </c>
      <c r="D47" s="17" t="s">
        <v>6</v>
      </c>
      <c r="E47" s="87">
        <v>-4229177.355000007</v>
      </c>
      <c r="F47" s="87">
        <v>-9028428.0434640031</v>
      </c>
      <c r="G47" s="87">
        <v>-7073553.4940348286</v>
      </c>
      <c r="H47" s="87">
        <v>-5147528.0863873689</v>
      </c>
      <c r="I47" s="44"/>
    </row>
    <row r="48" spans="1:9" x14ac:dyDescent="0.3">
      <c r="B48" s="40"/>
      <c r="C48" s="27"/>
      <c r="D48" s="27"/>
      <c r="E48" s="44"/>
      <c r="F48" s="44"/>
      <c r="G48" s="44"/>
      <c r="H48" s="44"/>
      <c r="I48" s="44"/>
    </row>
    <row r="49" spans="2:9" x14ac:dyDescent="0.3">
      <c r="B49" s="40"/>
      <c r="C49" s="50" t="s">
        <v>66</v>
      </c>
      <c r="D49" s="16" t="s">
        <v>6</v>
      </c>
      <c r="E49" s="88">
        <v>0</v>
      </c>
      <c r="F49" s="88">
        <v>-1242590</v>
      </c>
      <c r="G49" s="88">
        <v>-227000</v>
      </c>
      <c r="H49" s="88">
        <v>-150000</v>
      </c>
      <c r="I49" s="44"/>
    </row>
    <row r="50" spans="2:9" x14ac:dyDescent="0.3">
      <c r="B50" s="40"/>
      <c r="C50" s="19" t="s">
        <v>67</v>
      </c>
      <c r="D50" s="17" t="s">
        <v>6</v>
      </c>
      <c r="E50" s="87"/>
      <c r="F50" s="87"/>
      <c r="G50" s="87">
        <v>200000</v>
      </c>
      <c r="H50" s="87">
        <v>45000</v>
      </c>
      <c r="I50" s="44"/>
    </row>
    <row r="51" spans="2:9" x14ac:dyDescent="0.3">
      <c r="B51" s="40"/>
      <c r="C51" s="19" t="s">
        <v>68</v>
      </c>
      <c r="D51" s="17" t="s">
        <v>6</v>
      </c>
      <c r="E51" s="87">
        <v>0</v>
      </c>
      <c r="F51" s="87">
        <v>-1242590</v>
      </c>
      <c r="G51" s="87">
        <v>-427000</v>
      </c>
      <c r="H51" s="87">
        <v>-195000</v>
      </c>
      <c r="I51" s="44"/>
    </row>
    <row r="52" spans="2:9" x14ac:dyDescent="0.3">
      <c r="B52" s="40"/>
      <c r="C52" s="27"/>
      <c r="D52" s="27"/>
      <c r="E52" s="44"/>
      <c r="F52" s="44"/>
      <c r="G52" s="44"/>
      <c r="H52" s="44"/>
      <c r="I52" s="44"/>
    </row>
    <row r="53" spans="2:9" ht="15" thickBot="1" x14ac:dyDescent="0.35">
      <c r="B53" s="40"/>
      <c r="C53" s="53" t="s">
        <v>105</v>
      </c>
      <c r="D53" s="52" t="s">
        <v>6</v>
      </c>
      <c r="E53" s="83">
        <v>12775554.75408604</v>
      </c>
      <c r="F53" s="83">
        <v>18724622.504416004</v>
      </c>
      <c r="G53" s="83">
        <v>23351787.898655139</v>
      </c>
      <c r="H53" s="83">
        <v>32679863.552163053</v>
      </c>
      <c r="I53" s="44"/>
    </row>
    <row r="54" spans="2:9" x14ac:dyDescent="0.3">
      <c r="B54" s="40"/>
      <c r="C54" s="54" t="s">
        <v>69</v>
      </c>
      <c r="D54" s="21" t="s">
        <v>6</v>
      </c>
      <c r="E54" s="90">
        <v>-4265757.732389329</v>
      </c>
      <c r="F54" s="90">
        <v>-6263386.2277271533</v>
      </c>
      <c r="G54" s="90">
        <v>-7846200.7339481274</v>
      </c>
      <c r="H54" s="90">
        <v>-11045793.880631112</v>
      </c>
      <c r="I54" s="44"/>
    </row>
    <row r="55" spans="2:9" x14ac:dyDescent="0.3">
      <c r="B55" s="40"/>
      <c r="C55" s="27"/>
      <c r="D55" s="27"/>
      <c r="E55" s="44"/>
      <c r="F55" s="44"/>
      <c r="G55" s="44"/>
      <c r="H55" s="44"/>
      <c r="I55" s="44"/>
    </row>
    <row r="56" spans="2:9" ht="15" thickBot="1" x14ac:dyDescent="0.35">
      <c r="B56" s="40"/>
      <c r="C56" s="53" t="s">
        <v>70</v>
      </c>
      <c r="D56" s="52" t="s">
        <v>6</v>
      </c>
      <c r="E56" s="83">
        <v>8509797.021696711</v>
      </c>
      <c r="F56" s="83">
        <v>12461236.276688851</v>
      </c>
      <c r="G56" s="83">
        <v>15505587.164707012</v>
      </c>
      <c r="H56" s="83">
        <v>21634069.671531942</v>
      </c>
      <c r="I56" s="44"/>
    </row>
    <row r="57" spans="2:9" x14ac:dyDescent="0.3">
      <c r="B57" s="40"/>
      <c r="C57" s="39"/>
      <c r="D57" s="51"/>
      <c r="E57" s="86"/>
      <c r="F57" s="86"/>
      <c r="G57" s="86"/>
      <c r="H57" s="86"/>
      <c r="I57" s="44"/>
    </row>
    <row r="58" spans="2:9" x14ac:dyDescent="0.3">
      <c r="B58" s="40"/>
      <c r="C58" s="27"/>
      <c r="D58" s="27"/>
      <c r="E58" s="44"/>
      <c r="F58" s="44"/>
      <c r="G58" s="44"/>
      <c r="H58" s="44"/>
      <c r="I58" s="44"/>
    </row>
    <row r="59" spans="2:9" x14ac:dyDescent="0.3">
      <c r="D59" s="65" t="s">
        <v>28</v>
      </c>
      <c r="E59" s="67">
        <v>2015</v>
      </c>
      <c r="F59" s="67">
        <v>2016</v>
      </c>
      <c r="G59" s="67">
        <v>2017</v>
      </c>
      <c r="H59" s="67">
        <v>2018</v>
      </c>
    </row>
    <row r="60" spans="2:9" x14ac:dyDescent="0.3">
      <c r="B60" s="13" t="s">
        <v>73</v>
      </c>
      <c r="C60" s="12"/>
      <c r="D60" s="11"/>
      <c r="E60" s="11"/>
      <c r="F60" s="11"/>
      <c r="G60" s="11"/>
      <c r="H60" s="11"/>
    </row>
    <row r="61" spans="2:9" x14ac:dyDescent="0.3">
      <c r="C61" s="49" t="s">
        <v>74</v>
      </c>
      <c r="D61" s="21" t="s">
        <v>6</v>
      </c>
      <c r="E61" s="69">
        <v>100098754.62591667</v>
      </c>
      <c r="F61" s="69">
        <v>143127844.11675408</v>
      </c>
      <c r="G61" s="69">
        <v>144082560.81012034</v>
      </c>
      <c r="H61" s="69">
        <v>156147963.9182753</v>
      </c>
    </row>
    <row r="62" spans="2:9" x14ac:dyDescent="0.3">
      <c r="C62" s="47" t="s">
        <v>75</v>
      </c>
      <c r="D62" s="21" t="s">
        <v>6</v>
      </c>
      <c r="E62" s="69">
        <v>74008987.18416667</v>
      </c>
      <c r="F62" s="69">
        <v>118590144.38432409</v>
      </c>
      <c r="G62" s="69">
        <v>119567029.53988993</v>
      </c>
      <c r="H62" s="69">
        <v>130961223.12838623</v>
      </c>
    </row>
    <row r="63" spans="2:9" x14ac:dyDescent="0.3">
      <c r="B63" s="40"/>
      <c r="C63" s="19" t="s">
        <v>29</v>
      </c>
      <c r="D63" s="17" t="s">
        <v>6</v>
      </c>
      <c r="E63" s="70">
        <v>2529062</v>
      </c>
      <c r="F63" s="70">
        <v>25688122.039764069</v>
      </c>
      <c r="G63" s="70">
        <v>16852498.383599032</v>
      </c>
      <c r="H63" s="70">
        <v>9115958.4961916395</v>
      </c>
    </row>
    <row r="64" spans="2:9" x14ac:dyDescent="0.3">
      <c r="C64" s="19" t="s">
        <v>30</v>
      </c>
      <c r="D64" s="17" t="s">
        <v>6</v>
      </c>
      <c r="E64" s="70">
        <v>47875506.25</v>
      </c>
      <c r="F64" s="70">
        <v>61295851.80333335</v>
      </c>
      <c r="G64" s="70">
        <v>67661003.917000026</v>
      </c>
      <c r="H64" s="70">
        <v>82574481.958150014</v>
      </c>
    </row>
    <row r="65" spans="3:8" x14ac:dyDescent="0.3">
      <c r="C65" s="19" t="s">
        <v>77</v>
      </c>
      <c r="D65" s="17" t="s">
        <v>6</v>
      </c>
      <c r="E65" s="70">
        <v>23075438.934166662</v>
      </c>
      <c r="F65" s="70">
        <v>30948214.541226674</v>
      </c>
      <c r="G65" s="70">
        <v>34575165.239290871</v>
      </c>
      <c r="H65" s="70">
        <v>38734991.674044587</v>
      </c>
    </row>
    <row r="66" spans="3:8" x14ac:dyDescent="0.3">
      <c r="C66" s="19" t="s">
        <v>27</v>
      </c>
      <c r="D66" s="17" t="s">
        <v>6</v>
      </c>
      <c r="E66" s="70">
        <v>528980</v>
      </c>
      <c r="F66" s="70">
        <v>657956</v>
      </c>
      <c r="G66" s="70">
        <v>478362</v>
      </c>
      <c r="H66" s="70">
        <v>535791</v>
      </c>
    </row>
    <row r="67" spans="3:8" x14ac:dyDescent="0.3">
      <c r="C67" s="15"/>
      <c r="D67" s="27"/>
      <c r="E67" s="156"/>
      <c r="F67" s="156"/>
      <c r="G67" s="156"/>
      <c r="H67" s="156"/>
    </row>
    <row r="68" spans="3:8" x14ac:dyDescent="0.3">
      <c r="C68" s="47" t="s">
        <v>76</v>
      </c>
      <c r="D68" s="21" t="s">
        <v>6</v>
      </c>
      <c r="E68" s="69">
        <v>26089767.441750001</v>
      </c>
      <c r="F68" s="69">
        <v>24537699.732430004</v>
      </c>
      <c r="G68" s="69">
        <v>24515531.270230405</v>
      </c>
      <c r="H68" s="69">
        <v>25186740.789889056</v>
      </c>
    </row>
    <row r="69" spans="3:8" x14ac:dyDescent="0.3">
      <c r="C69" s="19" t="s">
        <v>78</v>
      </c>
      <c r="D69" s="17" t="s">
        <v>6</v>
      </c>
      <c r="E69" s="87">
        <v>42977454.5</v>
      </c>
      <c r="F69" s="87">
        <v>45771080.519600004</v>
      </c>
      <c r="G69" s="87">
        <v>50536768.621580005</v>
      </c>
      <c r="H69" s="87">
        <v>56440262.571151406</v>
      </c>
    </row>
    <row r="70" spans="3:8" x14ac:dyDescent="0.3">
      <c r="C70" s="19" t="s">
        <v>79</v>
      </c>
      <c r="D70" s="17" t="s">
        <v>6</v>
      </c>
      <c r="E70" s="87">
        <v>-17190981.800000001</v>
      </c>
      <c r="F70" s="87">
        <v>-21628408.550980002</v>
      </c>
      <c r="G70" s="87">
        <v>-26443801.008039001</v>
      </c>
      <c r="H70" s="87">
        <v>-31792652.567675572</v>
      </c>
    </row>
    <row r="71" spans="3:8" x14ac:dyDescent="0.3">
      <c r="C71" s="19" t="s">
        <v>80</v>
      </c>
      <c r="D71" s="17" t="s">
        <v>6</v>
      </c>
      <c r="E71" s="87">
        <v>388839.41250000003</v>
      </c>
      <c r="F71" s="87">
        <v>577173.7509000001</v>
      </c>
      <c r="G71" s="87">
        <v>736030.02096600016</v>
      </c>
      <c r="H71" s="87">
        <v>1029111.2808738002</v>
      </c>
    </row>
    <row r="72" spans="3:8" x14ac:dyDescent="0.3">
      <c r="C72" s="19" t="s">
        <v>81</v>
      </c>
      <c r="D72" s="17" t="s">
        <v>6</v>
      </c>
      <c r="E72" s="87">
        <v>-85544.670750000005</v>
      </c>
      <c r="F72" s="87">
        <v>-182145.98709000001</v>
      </c>
      <c r="G72" s="87">
        <v>-313466.36427660007</v>
      </c>
      <c r="H72" s="87">
        <v>-489980.49446058011</v>
      </c>
    </row>
    <row r="73" spans="3:8" x14ac:dyDescent="0.3">
      <c r="C73" s="27"/>
      <c r="D73" s="27"/>
      <c r="E73" s="72"/>
      <c r="F73" s="72"/>
      <c r="G73" s="72"/>
      <c r="H73" s="72"/>
    </row>
    <row r="74" spans="3:8" x14ac:dyDescent="0.3">
      <c r="C74" s="49" t="s">
        <v>82</v>
      </c>
      <c r="D74" s="21" t="s">
        <v>6</v>
      </c>
      <c r="E74" s="73">
        <v>100098754.62591669</v>
      </c>
      <c r="F74" s="73">
        <v>143127844.11675411</v>
      </c>
      <c r="G74" s="73">
        <v>144082560.81012034</v>
      </c>
      <c r="H74" s="73">
        <v>156147963.91827533</v>
      </c>
    </row>
    <row r="75" spans="3:8" x14ac:dyDescent="0.3">
      <c r="C75" s="47" t="s">
        <v>83</v>
      </c>
      <c r="D75" s="21" t="s">
        <v>6</v>
      </c>
      <c r="E75" s="73">
        <v>46861066.970641121</v>
      </c>
      <c r="F75" s="73">
        <v>81535612.183549702</v>
      </c>
      <c r="G75" s="73">
        <v>72751267.660918206</v>
      </c>
      <c r="H75" s="73">
        <v>74992286.436647043</v>
      </c>
    </row>
    <row r="76" spans="3:8" x14ac:dyDescent="0.3">
      <c r="C76" s="19" t="s">
        <v>84</v>
      </c>
      <c r="D76" s="17" t="s">
        <v>6</v>
      </c>
      <c r="E76" s="70">
        <v>19892619.770833328</v>
      </c>
      <c r="F76" s="70">
        <v>23211160.905920006</v>
      </c>
      <c r="G76" s="70">
        <v>25652541.951731935</v>
      </c>
      <c r="H76" s="70">
        <v>30856688.28271348</v>
      </c>
    </row>
    <row r="77" spans="3:8" x14ac:dyDescent="0.3">
      <c r="C77" s="19" t="s">
        <v>33</v>
      </c>
      <c r="D77" s="17" t="s">
        <v>6</v>
      </c>
      <c r="E77" s="70">
        <v>1116825</v>
      </c>
      <c r="F77" s="70">
        <v>1402748.6888888888</v>
      </c>
      <c r="G77" s="70">
        <v>1798725.3798402781</v>
      </c>
      <c r="H77" s="70">
        <v>1773807.7713630002</v>
      </c>
    </row>
    <row r="78" spans="3:8" x14ac:dyDescent="0.3">
      <c r="C78" s="19" t="s">
        <v>32</v>
      </c>
      <c r="D78" s="17" t="s">
        <v>6</v>
      </c>
      <c r="E78" s="70">
        <v>6619970.102307762</v>
      </c>
      <c r="F78" s="70">
        <v>8982642.6926807966</v>
      </c>
      <c r="G78" s="70">
        <v>9661232.8591718487</v>
      </c>
      <c r="H78" s="70">
        <v>11204696.864246342</v>
      </c>
    </row>
    <row r="79" spans="3:8" x14ac:dyDescent="0.3">
      <c r="C79" s="19" t="s">
        <v>85</v>
      </c>
      <c r="D79" s="17" t="s">
        <v>6</v>
      </c>
      <c r="E79" s="70">
        <v>19031298.097500034</v>
      </c>
      <c r="F79" s="70">
        <v>47650036.896060012</v>
      </c>
      <c r="G79" s="70">
        <v>35367767.470174141</v>
      </c>
      <c r="H79" s="70">
        <v>30885168.518324215</v>
      </c>
    </row>
    <row r="80" spans="3:8" x14ac:dyDescent="0.3">
      <c r="C80" s="19" t="s">
        <v>27</v>
      </c>
      <c r="D80" s="17" t="s">
        <v>6</v>
      </c>
      <c r="E80" s="70">
        <v>200354</v>
      </c>
      <c r="F80" s="70">
        <v>289023</v>
      </c>
      <c r="G80" s="70">
        <v>271000</v>
      </c>
      <c r="H80" s="70">
        <v>271925</v>
      </c>
    </row>
    <row r="81" spans="3:8" x14ac:dyDescent="0.3">
      <c r="C81" s="15"/>
      <c r="D81" s="27"/>
      <c r="E81" s="72"/>
      <c r="F81" s="72"/>
      <c r="G81" s="72"/>
      <c r="H81" s="72"/>
    </row>
    <row r="82" spans="3:8" x14ac:dyDescent="0.3">
      <c r="C82" s="47" t="s">
        <v>86</v>
      </c>
      <c r="D82" s="21" t="s">
        <v>6</v>
      </c>
      <c r="E82" s="73">
        <v>2114588.6775000021</v>
      </c>
      <c r="F82" s="73">
        <v>2507896.6787400022</v>
      </c>
      <c r="G82" s="73">
        <v>6241370.7300307304</v>
      </c>
      <c r="H82" s="73">
        <v>3431685.3909249119</v>
      </c>
    </row>
    <row r="83" spans="3:8" x14ac:dyDescent="0.3">
      <c r="C83" s="19" t="s">
        <v>85</v>
      </c>
      <c r="D83" s="17" t="s">
        <v>6</v>
      </c>
      <c r="E83" s="70">
        <v>2114588.6775000021</v>
      </c>
      <c r="F83" s="70">
        <v>2507896.6787400022</v>
      </c>
      <c r="G83" s="70">
        <v>6241370.7300307304</v>
      </c>
      <c r="H83" s="70">
        <v>3431685.3909249119</v>
      </c>
    </row>
    <row r="84" spans="3:8" x14ac:dyDescent="0.3">
      <c r="C84" s="15"/>
      <c r="D84" s="27"/>
      <c r="E84" s="72"/>
      <c r="F84" s="72"/>
      <c r="G84" s="72"/>
      <c r="H84" s="72"/>
    </row>
    <row r="85" spans="3:8" x14ac:dyDescent="0.3">
      <c r="C85" s="47" t="s">
        <v>87</v>
      </c>
      <c r="D85" s="21" t="s">
        <v>6</v>
      </c>
      <c r="E85" s="73">
        <v>51123098.977775559</v>
      </c>
      <c r="F85" s="73">
        <v>59084335.25446441</v>
      </c>
      <c r="G85" s="73">
        <v>65089922.419171423</v>
      </c>
      <c r="H85" s="73">
        <v>77723992.090703368</v>
      </c>
    </row>
    <row r="86" spans="3:8" x14ac:dyDescent="0.3">
      <c r="C86" s="19" t="s">
        <v>88</v>
      </c>
      <c r="D86" s="17" t="s">
        <v>6</v>
      </c>
      <c r="E86" s="70">
        <v>40000000</v>
      </c>
      <c r="F86" s="70">
        <v>40000000</v>
      </c>
      <c r="G86" s="70">
        <v>40000000</v>
      </c>
      <c r="H86" s="70">
        <v>40000000</v>
      </c>
    </row>
    <row r="87" spans="3:8" x14ac:dyDescent="0.3">
      <c r="C87" s="19" t="s">
        <v>89</v>
      </c>
      <c r="D87" s="17" t="s">
        <v>6</v>
      </c>
      <c r="E87" s="70">
        <v>11123098.977775561</v>
      </c>
      <c r="F87" s="70">
        <v>19084335.25446441</v>
      </c>
      <c r="G87" s="70">
        <v>25089922.419171423</v>
      </c>
      <c r="H87" s="70">
        <v>37723992.090703368</v>
      </c>
    </row>
    <row r="88" spans="3:8" x14ac:dyDescent="0.3">
      <c r="E88" s="74"/>
      <c r="F88" s="74"/>
      <c r="G88" s="74"/>
      <c r="H88" s="74"/>
    </row>
    <row r="89" spans="3:8" x14ac:dyDescent="0.3">
      <c r="E89" s="44"/>
      <c r="F89" s="44"/>
      <c r="G89" s="44"/>
      <c r="H89" s="44"/>
    </row>
    <row r="90" spans="3:8" x14ac:dyDescent="0.3">
      <c r="E90" s="44"/>
      <c r="F90" s="44"/>
      <c r="G90" s="44"/>
      <c r="H90" s="4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CFE9-E9F4-4FFA-98AC-5E6B4F7F89DA}">
  <sheetPr>
    <tabColor theme="1"/>
    <outlinePr summaryBelow="0" summaryRight="0"/>
    <pageSetUpPr autoPageBreaks="0"/>
  </sheetPr>
  <dimension ref="A1:G49"/>
  <sheetViews>
    <sheetView showGridLines="0" topLeftCell="A18" zoomScale="85" zoomScaleNormal="85" workbookViewId="0">
      <selection activeCell="B48" sqref="B48"/>
    </sheetView>
  </sheetViews>
  <sheetFormatPr defaultColWidth="0" defaultRowHeight="14.4" x14ac:dyDescent="0.3"/>
  <cols>
    <col min="1" max="1" width="47.88671875" style="191" customWidth="1"/>
    <col min="2" max="5" width="16.33203125" style="191" customWidth="1"/>
    <col min="6" max="6" width="11.44140625" style="191" customWidth="1"/>
    <col min="7" max="7" width="11.6640625" style="191" customWidth="1"/>
    <col min="8" max="16384" width="9.109375" style="191" hidden="1"/>
  </cols>
  <sheetData>
    <row r="1" spans="1:6" ht="65.25" customHeight="1" x14ac:dyDescent="0.3"/>
    <row r="2" spans="1:6" x14ac:dyDescent="0.3">
      <c r="A2" s="193" t="s">
        <v>144</v>
      </c>
      <c r="B2" s="193"/>
      <c r="C2" s="193"/>
      <c r="D2" s="193"/>
      <c r="E2" s="193"/>
      <c r="F2" s="194"/>
    </row>
    <row r="3" spans="1:6" ht="43.2" x14ac:dyDescent="0.3">
      <c r="A3" s="195" t="s">
        <v>145</v>
      </c>
      <c r="B3" s="196" t="s">
        <v>146</v>
      </c>
      <c r="C3" s="196" t="s">
        <v>147</v>
      </c>
      <c r="D3" s="196" t="s">
        <v>148</v>
      </c>
      <c r="E3" s="196" t="s">
        <v>149</v>
      </c>
    </row>
    <row r="4" spans="1:6" ht="12" customHeight="1" x14ac:dyDescent="0.3">
      <c r="A4" s="195" t="s">
        <v>183</v>
      </c>
      <c r="B4" s="197">
        <v>1.2334984271671949</v>
      </c>
      <c r="C4" s="198">
        <v>0.27500000000000002</v>
      </c>
      <c r="D4" s="198">
        <v>0.55187358856201174</v>
      </c>
      <c r="E4" s="199">
        <f t="shared" ref="E4:E15" si="0">B4/(1+(D4)*(1-C4))</f>
        <v>0.88100212077366746</v>
      </c>
    </row>
    <row r="5" spans="1:6" ht="12" customHeight="1" x14ac:dyDescent="0.3">
      <c r="A5" s="195" t="s">
        <v>171</v>
      </c>
      <c r="B5" s="197">
        <v>1.1443759843568291</v>
      </c>
      <c r="C5" s="198">
        <v>0.28611221313476565</v>
      </c>
      <c r="D5" s="198">
        <v>0.36527381896972655</v>
      </c>
      <c r="E5" s="199">
        <f t="shared" si="0"/>
        <v>0.90768416132837881</v>
      </c>
    </row>
    <row r="6" spans="1:6" ht="12" customHeight="1" x14ac:dyDescent="0.3">
      <c r="A6" s="195" t="s">
        <v>172</v>
      </c>
      <c r="B6" s="197">
        <v>1.0769045591688999</v>
      </c>
      <c r="C6" s="198">
        <v>0.4</v>
      </c>
      <c r="D6" s="198">
        <v>2.1443165588378905</v>
      </c>
      <c r="E6" s="199">
        <f t="shared" si="0"/>
        <v>0.4709653193791053</v>
      </c>
    </row>
    <row r="7" spans="1:6" ht="12" customHeight="1" x14ac:dyDescent="0.3">
      <c r="A7" s="195" t="s">
        <v>173</v>
      </c>
      <c r="B7" s="197">
        <v>1.042664182322858</v>
      </c>
      <c r="C7" s="198">
        <v>0.58579414367675786</v>
      </c>
      <c r="D7" s="198">
        <v>0.46824264526367188</v>
      </c>
      <c r="E7" s="199">
        <f t="shared" si="0"/>
        <v>0.87329049812169435</v>
      </c>
    </row>
    <row r="8" spans="1:6" ht="12" customHeight="1" x14ac:dyDescent="0.3">
      <c r="A8" s="195" t="s">
        <v>174</v>
      </c>
      <c r="B8" s="197">
        <v>1.080472740327945</v>
      </c>
      <c r="C8" s="198">
        <v>0.2352941131591797</v>
      </c>
      <c r="D8" s="198">
        <v>1.0729496765136719</v>
      </c>
      <c r="E8" s="199">
        <f t="shared" si="0"/>
        <v>0.59350624614481662</v>
      </c>
    </row>
    <row r="9" spans="1:6" ht="12" customHeight="1" x14ac:dyDescent="0.3">
      <c r="A9" s="195" t="s">
        <v>175</v>
      </c>
      <c r="B9" s="197">
        <v>1.0527771687152929</v>
      </c>
      <c r="C9" s="198">
        <v>0.22207656860351563</v>
      </c>
      <c r="D9" s="198">
        <v>0.91766059875488282</v>
      </c>
      <c r="E9" s="199">
        <f t="shared" si="0"/>
        <v>0.61426908934206514</v>
      </c>
    </row>
    <row r="10" spans="1:6" ht="12" customHeight="1" x14ac:dyDescent="0.3">
      <c r="A10" s="195" t="s">
        <v>176</v>
      </c>
      <c r="B10" s="197">
        <v>1.0763000269694549</v>
      </c>
      <c r="C10" s="198">
        <v>0.24845008850097655</v>
      </c>
      <c r="D10" s="198">
        <v>0.80690536499023435</v>
      </c>
      <c r="E10" s="199">
        <f t="shared" si="0"/>
        <v>0.66999511817173496</v>
      </c>
    </row>
    <row r="11" spans="1:6" ht="12" customHeight="1" x14ac:dyDescent="0.3">
      <c r="A11" s="195" t="s">
        <v>177</v>
      </c>
      <c r="B11" s="197">
        <v>1.0218681400714249</v>
      </c>
      <c r="C11" s="198">
        <v>0.27902822494506835</v>
      </c>
      <c r="D11" s="198">
        <v>0.48953010559082033</v>
      </c>
      <c r="E11" s="199">
        <f t="shared" si="0"/>
        <v>0.75529595696799823</v>
      </c>
    </row>
    <row r="12" spans="1:6" ht="12" customHeight="1" x14ac:dyDescent="0.3">
      <c r="A12" s="195" t="s">
        <v>178</v>
      </c>
      <c r="B12" s="197">
        <v>0.89746911260504003</v>
      </c>
      <c r="C12" s="198">
        <v>0.3151207733154297</v>
      </c>
      <c r="D12" s="198">
        <v>0.97853813171386717</v>
      </c>
      <c r="E12" s="199">
        <f t="shared" si="0"/>
        <v>0.53734859520941392</v>
      </c>
    </row>
    <row r="13" spans="1:6" ht="12" customHeight="1" x14ac:dyDescent="0.3">
      <c r="A13" s="195" t="s">
        <v>179</v>
      </c>
      <c r="B13" s="197">
        <v>0.82393318284450612</v>
      </c>
      <c r="C13" s="198">
        <v>0.4</v>
      </c>
      <c r="D13" s="198">
        <v>0.43432563781738281</v>
      </c>
      <c r="E13" s="199">
        <f t="shared" si="0"/>
        <v>0.65360637850824432</v>
      </c>
    </row>
    <row r="14" spans="1:6" ht="12" customHeight="1" x14ac:dyDescent="0.3">
      <c r="A14" s="195" t="s">
        <v>180</v>
      </c>
      <c r="B14" s="197">
        <v>0.98524079528279307</v>
      </c>
      <c r="C14" s="198">
        <v>0.32940662384033204</v>
      </c>
      <c r="D14" s="198">
        <v>0.1788300895690918</v>
      </c>
      <c r="E14" s="199">
        <f t="shared" si="0"/>
        <v>0.87974033428534604</v>
      </c>
    </row>
    <row r="15" spans="1:6" ht="12" customHeight="1" x14ac:dyDescent="0.3">
      <c r="A15" s="195" t="s">
        <v>181</v>
      </c>
      <c r="B15" s="197">
        <v>0.88617575545142901</v>
      </c>
      <c r="C15" s="198">
        <v>0.27120475769042968</v>
      </c>
      <c r="D15" s="198">
        <v>0.97776885986328121</v>
      </c>
      <c r="E15" s="199">
        <f t="shared" si="0"/>
        <v>0.51744670436208551</v>
      </c>
    </row>
    <row r="16" spans="1:6" x14ac:dyDescent="0.3">
      <c r="A16" s="200"/>
      <c r="B16" s="200"/>
      <c r="C16" s="200"/>
      <c r="D16" s="200"/>
      <c r="E16" s="200"/>
    </row>
    <row r="17" spans="1:6" ht="43.2" x14ac:dyDescent="0.3">
      <c r="A17" s="195" t="s">
        <v>150</v>
      </c>
      <c r="B17" s="196" t="str">
        <f>B3</f>
        <v>5 Year Beta
(Beta alavancado)</v>
      </c>
      <c r="C17" s="196" t="str">
        <f>C3</f>
        <v>Tax Rate
Imp. Renda (T)</v>
      </c>
      <c r="D17" s="196" t="str">
        <f>D3</f>
        <v>Debt/Equity % 
(D/E)</v>
      </c>
      <c r="E17" s="196" t="str">
        <f>E3</f>
        <v>Beta desalavancado</v>
      </c>
    </row>
    <row r="18" spans="1:6" x14ac:dyDescent="0.3">
      <c r="A18" s="195" t="s">
        <v>151</v>
      </c>
      <c r="B18" s="201">
        <f t="shared" ref="B18:E18" si="1">AVERAGE(B4:B15)</f>
        <v>1.0268066729403056</v>
      </c>
      <c r="C18" s="202">
        <f t="shared" si="1"/>
        <v>0.32062395890553791</v>
      </c>
      <c r="D18" s="202">
        <f t="shared" si="1"/>
        <v>0.78218458970387772</v>
      </c>
      <c r="E18" s="203">
        <f t="shared" si="1"/>
        <v>0.69617921021621265</v>
      </c>
    </row>
    <row r="19" spans="1:6" x14ac:dyDescent="0.3">
      <c r="A19" s="204"/>
      <c r="B19" s="204"/>
      <c r="C19" s="204"/>
      <c r="D19" s="204"/>
    </row>
    <row r="20" spans="1:6" ht="28.8" x14ac:dyDescent="0.3">
      <c r="A20" s="195" t="s">
        <v>145</v>
      </c>
      <c r="B20" s="196" t="s">
        <v>148</v>
      </c>
      <c r="C20" s="196" t="s">
        <v>147</v>
      </c>
      <c r="D20" s="196" t="s">
        <v>149</v>
      </c>
      <c r="E20" s="196" t="s">
        <v>152</v>
      </c>
    </row>
    <row r="21" spans="1:6" x14ac:dyDescent="0.3">
      <c r="A21" s="195" t="s">
        <v>182</v>
      </c>
      <c r="B21" s="205">
        <f>(Model!H119+Model!H123)/Model!H125</f>
        <v>0.44152201895653526</v>
      </c>
      <c r="C21" s="206">
        <v>0.34</v>
      </c>
      <c r="D21" s="199">
        <f>E18</f>
        <v>0.69617921021621265</v>
      </c>
      <c r="E21" s="203">
        <f>D21*(1+B21*(1-C21))</f>
        <v>0.89904898751336337</v>
      </c>
    </row>
    <row r="22" spans="1:6" x14ac:dyDescent="0.3">
      <c r="A22" s="204"/>
      <c r="B22" s="204"/>
      <c r="C22" s="204"/>
      <c r="D22" s="204"/>
    </row>
    <row r="23" spans="1:6" x14ac:dyDescent="0.3">
      <c r="A23" s="204"/>
      <c r="B23" s="204"/>
      <c r="C23" s="204"/>
      <c r="D23" s="204"/>
    </row>
    <row r="24" spans="1:6" x14ac:dyDescent="0.3">
      <c r="A24" s="207" t="s">
        <v>153</v>
      </c>
      <c r="B24" s="208"/>
      <c r="C24" s="208"/>
      <c r="D24" s="208"/>
      <c r="E24" s="208"/>
    </row>
    <row r="25" spans="1:6" x14ac:dyDescent="0.3">
      <c r="A25" s="209" t="s">
        <v>154</v>
      </c>
      <c r="B25" s="210">
        <v>2.58E-2</v>
      </c>
      <c r="C25" s="211" t="s">
        <v>155</v>
      </c>
      <c r="D25" s="211"/>
      <c r="E25" s="211"/>
      <c r="F25" s="211"/>
    </row>
    <row r="26" spans="1:6" x14ac:dyDescent="0.3">
      <c r="A26" s="209" t="s">
        <v>184</v>
      </c>
      <c r="B26" s="212">
        <f>E21</f>
        <v>0.89904898751336337</v>
      </c>
      <c r="C26" s="211"/>
      <c r="D26" s="211"/>
      <c r="E26" s="211"/>
      <c r="F26" s="211"/>
    </row>
    <row r="27" spans="1:6" x14ac:dyDescent="0.3">
      <c r="A27" s="209" t="s">
        <v>156</v>
      </c>
      <c r="B27" s="210">
        <v>5.4899999999999997E-2</v>
      </c>
      <c r="C27" s="211" t="s">
        <v>157</v>
      </c>
      <c r="D27" s="211"/>
      <c r="E27" s="211"/>
      <c r="F27" s="211"/>
    </row>
    <row r="28" spans="1:6" x14ac:dyDescent="0.3">
      <c r="A28" s="209" t="s">
        <v>158</v>
      </c>
      <c r="B28" s="210">
        <v>2.53E-2</v>
      </c>
      <c r="C28" s="211" t="s">
        <v>142</v>
      </c>
      <c r="D28" s="211"/>
      <c r="E28" s="211"/>
      <c r="F28" s="211"/>
    </row>
    <row r="29" spans="1:6" x14ac:dyDescent="0.3">
      <c r="A29" s="209" t="s">
        <v>185</v>
      </c>
      <c r="B29" s="210">
        <v>0.03</v>
      </c>
      <c r="C29" s="211" t="s">
        <v>186</v>
      </c>
      <c r="D29" s="211"/>
      <c r="E29" s="211"/>
      <c r="F29" s="211"/>
    </row>
    <row r="30" spans="1:6" x14ac:dyDescent="0.3">
      <c r="A30" s="213" t="s">
        <v>159</v>
      </c>
      <c r="B30" s="214">
        <f>B25+B26*B27+B28+B29</f>
        <v>0.13045778941448366</v>
      </c>
    </row>
    <row r="31" spans="1:6" x14ac:dyDescent="0.3">
      <c r="A31" s="215"/>
      <c r="B31" s="192"/>
    </row>
    <row r="32" spans="1:6" x14ac:dyDescent="0.3">
      <c r="A32" s="209" t="s">
        <v>160</v>
      </c>
      <c r="B32" s="210">
        <v>2.1000000000000001E-2</v>
      </c>
      <c r="C32" s="216"/>
      <c r="D32" s="217"/>
      <c r="E32" s="217"/>
      <c r="F32" s="217"/>
    </row>
    <row r="33" spans="1:6" x14ac:dyDescent="0.3">
      <c r="A33" s="213" t="s">
        <v>161</v>
      </c>
      <c r="B33" s="214">
        <f>(1+B30)/(1+B32)-1</f>
        <v>0.10720645388294203</v>
      </c>
    </row>
    <row r="35" spans="1:6" x14ac:dyDescent="0.3">
      <c r="A35" s="209" t="s">
        <v>162</v>
      </c>
      <c r="B35" s="210">
        <v>0.04</v>
      </c>
      <c r="C35" s="216"/>
      <c r="D35" s="217"/>
      <c r="E35" s="217"/>
      <c r="F35" s="217"/>
    </row>
    <row r="36" spans="1:6" x14ac:dyDescent="0.3">
      <c r="A36" s="213" t="s">
        <v>163</v>
      </c>
      <c r="B36" s="214">
        <f>(1+B33)*(1+B35)-1</f>
        <v>0.1514947120382597</v>
      </c>
    </row>
    <row r="38" spans="1:6" x14ac:dyDescent="0.3">
      <c r="A38" s="207" t="s">
        <v>164</v>
      </c>
      <c r="B38" s="208"/>
      <c r="C38" s="208"/>
      <c r="D38" s="208"/>
      <c r="E38" s="208"/>
    </row>
    <row r="39" spans="1:6" x14ac:dyDescent="0.3">
      <c r="A39" s="191" t="s">
        <v>187</v>
      </c>
      <c r="B39" s="218">
        <f>Model!H119+Model!H123</f>
        <v>34316853.909249127</v>
      </c>
      <c r="C39" s="219"/>
    </row>
    <row r="40" spans="1:6" x14ac:dyDescent="0.3">
      <c r="A40" s="191" t="s">
        <v>188</v>
      </c>
      <c r="B40" s="218">
        <f>Model!H125</f>
        <v>77723992.090703368</v>
      </c>
      <c r="C40" s="219"/>
    </row>
    <row r="42" spans="1:6" x14ac:dyDescent="0.3">
      <c r="A42" s="191" t="s">
        <v>165</v>
      </c>
      <c r="B42" s="220">
        <f>B39/(B39+B40)</f>
        <v>0.3062887789089318</v>
      </c>
      <c r="C42" s="191" t="s">
        <v>166</v>
      </c>
    </row>
    <row r="43" spans="1:6" x14ac:dyDescent="0.3">
      <c r="A43" s="191" t="s">
        <v>167</v>
      </c>
      <c r="B43" s="220">
        <f>B40/(B39+B40)</f>
        <v>0.6937112210910682</v>
      </c>
      <c r="C43" s="191" t="s">
        <v>168</v>
      </c>
    </row>
    <row r="45" spans="1:6" s="215" customFormat="1" x14ac:dyDescent="0.3">
      <c r="A45" s="215" t="s">
        <v>143</v>
      </c>
      <c r="B45" s="221">
        <v>0.14000000000000001</v>
      </c>
      <c r="C45" s="222"/>
      <c r="D45" s="222"/>
      <c r="E45" s="222"/>
      <c r="F45" s="222"/>
    </row>
    <row r="46" spans="1:6" x14ac:dyDescent="0.3">
      <c r="A46" s="215" t="s">
        <v>169</v>
      </c>
      <c r="B46" s="214">
        <f>B45*(1-C21)</f>
        <v>9.2399999999999996E-2</v>
      </c>
      <c r="C46" s="215"/>
      <c r="D46" s="215"/>
      <c r="E46" s="215"/>
      <c r="F46" s="215"/>
    </row>
    <row r="48" spans="1:6" ht="15" thickBot="1" x14ac:dyDescent="0.35">
      <c r="A48" s="223" t="s">
        <v>170</v>
      </c>
      <c r="B48" s="224">
        <f>B36*B43+B46*B42</f>
        <v>0.13339466484808618</v>
      </c>
    </row>
    <row r="49" ht="15" thickTop="1" x14ac:dyDescent="0.3"/>
  </sheetData>
  <pageMargins left="0.2" right="0.2" top="0.5" bottom="0.5" header="0.5" footer="0.5"/>
  <pageSetup fitToWidth="0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1461-476B-436D-8D0C-C8F22D536931}">
  <sheetPr codeName="Sheet48">
    <tabColor theme="1"/>
  </sheetPr>
  <dimension ref="A1:X449"/>
  <sheetViews>
    <sheetView showGridLines="0" tabSelected="1" zoomScale="85" zoomScaleNormal="85" workbookViewId="0">
      <pane xSplit="4" ySplit="3" topLeftCell="E4" activePane="bottomRight" state="frozen"/>
      <selection pane="topRight" activeCell="I1" sqref="I1"/>
      <selection pane="bottomLeft" activeCell="A4" sqref="A4"/>
      <selection pane="bottomRight" activeCell="D214" sqref="D214"/>
    </sheetView>
  </sheetViews>
  <sheetFormatPr defaultColWidth="0" defaultRowHeight="13.8" x14ac:dyDescent="0.3"/>
  <cols>
    <col min="1" max="1" width="2.88671875" style="2" bestFit="1" customWidth="1"/>
    <col min="2" max="2" width="2.33203125" style="2" customWidth="1"/>
    <col min="3" max="3" width="34.33203125" style="1" customWidth="1"/>
    <col min="4" max="4" width="13.88671875" style="1" bestFit="1" customWidth="1"/>
    <col min="5" max="16" width="13.6640625" style="1" customWidth="1"/>
    <col min="17" max="17" width="7.44140625" style="1" customWidth="1"/>
    <col min="18" max="24" width="13.6640625" style="1" hidden="1" customWidth="1"/>
    <col min="25" max="16384" width="9.109375" style="1" hidden="1"/>
  </cols>
  <sheetData>
    <row r="1" spans="1:18" ht="63" customHeight="1" x14ac:dyDescent="0.3">
      <c r="A1" s="1"/>
      <c r="B1" s="1"/>
      <c r="C1" s="66"/>
      <c r="E1" s="189" t="s">
        <v>138</v>
      </c>
    </row>
    <row r="2" spans="1:18" ht="14.4" x14ac:dyDescent="0.3">
      <c r="A2" s="1"/>
      <c r="B2" s="1"/>
      <c r="E2" s="184" t="s">
        <v>122</v>
      </c>
      <c r="F2" s="184"/>
      <c r="G2" s="184"/>
      <c r="H2" s="184"/>
      <c r="I2" s="185" t="s">
        <v>136</v>
      </c>
      <c r="J2" s="186"/>
      <c r="K2" s="186"/>
      <c r="L2" s="186"/>
      <c r="M2" s="186"/>
      <c r="N2" s="186"/>
      <c r="O2" s="186"/>
      <c r="P2" s="186"/>
    </row>
    <row r="3" spans="1:18" s="4" customFormat="1" ht="14.4" x14ac:dyDescent="0.3">
      <c r="B3" s="27"/>
      <c r="C3" s="27"/>
      <c r="D3" s="65" t="s">
        <v>28</v>
      </c>
      <c r="E3" s="67">
        <v>2015</v>
      </c>
      <c r="F3" s="67">
        <f>E3+1</f>
        <v>2016</v>
      </c>
      <c r="G3" s="67">
        <f>F3+1</f>
        <v>2017</v>
      </c>
      <c r="H3" s="67">
        <f>G3+1</f>
        <v>2018</v>
      </c>
      <c r="I3" s="67" t="s">
        <v>38</v>
      </c>
      <c r="J3" s="67" t="s">
        <v>17</v>
      </c>
      <c r="K3" s="67" t="s">
        <v>16</v>
      </c>
      <c r="L3" s="67" t="s">
        <v>15</v>
      </c>
      <c r="M3" s="67" t="s">
        <v>14</v>
      </c>
      <c r="N3" s="67" t="s">
        <v>13</v>
      </c>
      <c r="O3" s="67" t="s">
        <v>43</v>
      </c>
      <c r="P3" s="67" t="s">
        <v>124</v>
      </c>
      <c r="R3" s="4" t="s">
        <v>41</v>
      </c>
    </row>
    <row r="4" spans="1:18" s="4" customFormat="1" ht="14.4" x14ac:dyDescent="0.3">
      <c r="B4" s="13" t="s">
        <v>107</v>
      </c>
      <c r="C4" s="12"/>
      <c r="D4" s="11"/>
      <c r="E4" s="64"/>
      <c r="F4" s="64"/>
      <c r="G4" s="64"/>
      <c r="H4" s="64"/>
      <c r="I4" s="119"/>
      <c r="J4" s="119"/>
      <c r="K4" s="119"/>
      <c r="L4" s="119"/>
      <c r="M4" s="119"/>
      <c r="N4" s="119"/>
      <c r="O4" s="119"/>
      <c r="P4" s="119"/>
    </row>
    <row r="5" spans="1:18" s="4" customFormat="1" ht="15" thickBot="1" x14ac:dyDescent="0.35">
      <c r="A5" s="55"/>
      <c r="B5" s="55"/>
      <c r="C5" s="53" t="s">
        <v>45</v>
      </c>
      <c r="D5" s="52" t="s">
        <v>6</v>
      </c>
      <c r="E5" s="120">
        <f>Histórico!E5</f>
        <v>249785250</v>
      </c>
      <c r="F5" s="120">
        <f>Histórico!F5</f>
        <v>313890564.00000006</v>
      </c>
      <c r="G5" s="120">
        <f>Histórico!G5</f>
        <v>353013933.48000008</v>
      </c>
      <c r="H5" s="120">
        <f>Histórico!H5</f>
        <v>418687514.1540001</v>
      </c>
      <c r="I5" s="103">
        <f>I8*I10</f>
        <v>485378814.08016014</v>
      </c>
      <c r="J5" s="103">
        <f t="shared" ref="J5:N5" si="0">J8*J10</f>
        <v>556735517.97776651</v>
      </c>
      <c r="K5" s="103">
        <f t="shared" si="0"/>
        <v>627622230.7458756</v>
      </c>
      <c r="L5" s="103">
        <f t="shared" si="0"/>
        <v>703289103.70666897</v>
      </c>
      <c r="M5" s="103">
        <f t="shared" si="0"/>
        <v>775241053.75509965</v>
      </c>
      <c r="N5" s="103">
        <f t="shared" si="0"/>
        <v>842709256.97424006</v>
      </c>
      <c r="O5" s="103">
        <f t="shared" ref="O5:P5" si="1">O8*O10</f>
        <v>908015046.84628797</v>
      </c>
      <c r="P5" s="103">
        <f t="shared" si="1"/>
        <v>970624701.82158053</v>
      </c>
      <c r="R5" s="134" t="e">
        <f>(#REF!/H5)^(1/8)-1</f>
        <v>#REF!</v>
      </c>
    </row>
    <row r="6" spans="1:18" s="125" customFormat="1" ht="14.4" x14ac:dyDescent="0.3">
      <c r="A6" s="123"/>
      <c r="B6" s="124"/>
      <c r="C6" s="84" t="s">
        <v>48</v>
      </c>
      <c r="D6" s="85" t="s">
        <v>22</v>
      </c>
      <c r="E6" s="86"/>
      <c r="F6" s="86">
        <f>F5/E5-1</f>
        <v>0.25664171122994683</v>
      </c>
      <c r="G6" s="86">
        <f t="shared" ref="G6:H6" si="2">G5/F5-1</f>
        <v>0.12464015796282424</v>
      </c>
      <c r="H6" s="86">
        <f t="shared" si="2"/>
        <v>0.18603679471399892</v>
      </c>
      <c r="I6" s="86">
        <f t="shared" ref="I6" si="3">I5/H5-1</f>
        <v>0.15928657452543438</v>
      </c>
      <c r="J6" s="86">
        <f t="shared" ref="J6" si="4">J5/I5-1</f>
        <v>0.14701239903277252</v>
      </c>
      <c r="K6" s="86">
        <f t="shared" ref="K6" si="5">K5/J5-1</f>
        <v>0.12732565191024858</v>
      </c>
      <c r="L6" s="86">
        <f t="shared" ref="L6" si="6">L5/K5-1</f>
        <v>0.12056117398975763</v>
      </c>
      <c r="M6" s="86">
        <f t="shared" ref="M6" si="7">M5/L5-1</f>
        <v>0.10230778447897104</v>
      </c>
      <c r="N6" s="86">
        <f t="shared" ref="N6" si="8">N5/M5-1</f>
        <v>8.7028676941628635E-2</v>
      </c>
      <c r="O6" s="86">
        <f t="shared" ref="O6" si="9">O5/N5-1</f>
        <v>7.7495042722717011E-2</v>
      </c>
      <c r="P6" s="86">
        <f t="shared" ref="P6" si="10">P5/O5-1</f>
        <v>6.8952221874238884E-2</v>
      </c>
    </row>
    <row r="7" spans="1:18" s="4" customFormat="1" ht="14.4" x14ac:dyDescent="0.3">
      <c r="A7" s="10"/>
      <c r="B7" s="40"/>
      <c r="C7" s="49"/>
      <c r="D7" s="17"/>
      <c r="E7" s="44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</row>
    <row r="8" spans="1:18" s="18" customFormat="1" ht="14.4" x14ac:dyDescent="0.3">
      <c r="A8" s="20"/>
      <c r="B8" s="55"/>
      <c r="C8" s="49" t="s">
        <v>46</v>
      </c>
      <c r="D8" s="21" t="s">
        <v>23</v>
      </c>
      <c r="E8" s="140">
        <f>Histórico!E6</f>
        <v>121550</v>
      </c>
      <c r="F8" s="140">
        <f>Histórico!F6</f>
        <v>146870</v>
      </c>
      <c r="G8" s="140">
        <f>Histórico!G6</f>
        <v>154370</v>
      </c>
      <c r="H8" s="140">
        <f>Histórico!H6</f>
        <v>174370</v>
      </c>
      <c r="I8" s="141">
        <f>H8+I9</f>
        <v>194370</v>
      </c>
      <c r="J8" s="141">
        <f t="shared" ref="J8:N8" si="11">I8+J9</f>
        <v>214370</v>
      </c>
      <c r="K8" s="141">
        <f t="shared" si="11"/>
        <v>232370</v>
      </c>
      <c r="L8" s="141">
        <f t="shared" si="11"/>
        <v>250370</v>
      </c>
      <c r="M8" s="141">
        <f t="shared" si="11"/>
        <v>265370</v>
      </c>
      <c r="N8" s="141">
        <f t="shared" si="11"/>
        <v>277370</v>
      </c>
      <c r="O8" s="141">
        <f t="shared" ref="O8" si="12">N8+O9</f>
        <v>287370</v>
      </c>
      <c r="P8" s="141">
        <f t="shared" ref="P8" si="13">O8+P9</f>
        <v>295370</v>
      </c>
    </row>
    <row r="9" spans="1:18" s="9" customFormat="1" ht="14.4" x14ac:dyDescent="0.3">
      <c r="B9" s="135"/>
      <c r="C9" s="132" t="s">
        <v>96</v>
      </c>
      <c r="D9" s="133" t="s">
        <v>23</v>
      </c>
      <c r="E9" s="138"/>
      <c r="F9" s="138">
        <f>F8-E8</f>
        <v>25320</v>
      </c>
      <c r="G9" s="138">
        <f t="shared" ref="G9:H9" si="14">G8-F8</f>
        <v>7500</v>
      </c>
      <c r="H9" s="138">
        <f t="shared" si="14"/>
        <v>20000</v>
      </c>
      <c r="I9" s="114">
        <v>20000</v>
      </c>
      <c r="J9" s="114">
        <v>20000</v>
      </c>
      <c r="K9" s="114">
        <v>18000</v>
      </c>
      <c r="L9" s="114">
        <v>18000</v>
      </c>
      <c r="M9" s="114">
        <v>15000</v>
      </c>
      <c r="N9" s="114">
        <v>12000</v>
      </c>
      <c r="O9" s="114">
        <v>10000</v>
      </c>
      <c r="P9" s="114">
        <v>8000</v>
      </c>
    </row>
    <row r="10" spans="1:18" s="18" customFormat="1" ht="14.4" x14ac:dyDescent="0.3">
      <c r="A10" s="20"/>
      <c r="B10" s="55"/>
      <c r="C10" s="49" t="s">
        <v>94</v>
      </c>
      <c r="D10" s="21" t="s">
        <v>95</v>
      </c>
      <c r="E10" s="142">
        <f>E5/E8</f>
        <v>2055</v>
      </c>
      <c r="F10" s="142">
        <f t="shared" ref="F10:H10" si="15">F5/F8</f>
        <v>2137.2000000000003</v>
      </c>
      <c r="G10" s="142">
        <f t="shared" si="15"/>
        <v>2286.8040000000005</v>
      </c>
      <c r="H10" s="142">
        <f t="shared" si="15"/>
        <v>2401.1442000000006</v>
      </c>
      <c r="I10" s="143">
        <f>H10*(1+I11)</f>
        <v>2497.1899680000006</v>
      </c>
      <c r="J10" s="143">
        <f t="shared" ref="J10:N10" si="16">I10*(1+J11)</f>
        <v>2597.0775667200005</v>
      </c>
      <c r="K10" s="143">
        <f t="shared" si="16"/>
        <v>2700.9606693888004</v>
      </c>
      <c r="L10" s="143">
        <f t="shared" si="16"/>
        <v>2808.9990961643525</v>
      </c>
      <c r="M10" s="143">
        <f t="shared" si="16"/>
        <v>2921.3590600109269</v>
      </c>
      <c r="N10" s="143">
        <f t="shared" si="16"/>
        <v>3038.2134224113643</v>
      </c>
      <c r="O10" s="143">
        <f t="shared" ref="O10" si="17">N10*(1+O11)</f>
        <v>3159.7419593078189</v>
      </c>
      <c r="P10" s="143">
        <f t="shared" ref="P10" si="18">O10*(1+P11)</f>
        <v>3286.1316376801319</v>
      </c>
    </row>
    <row r="11" spans="1:18" s="4" customFormat="1" ht="14.4" x14ac:dyDescent="0.3">
      <c r="A11" s="10"/>
      <c r="B11" s="40"/>
      <c r="C11" s="58" t="s">
        <v>97</v>
      </c>
      <c r="D11" s="51" t="s">
        <v>22</v>
      </c>
      <c r="E11" s="139"/>
      <c r="F11" s="139">
        <f>F10/E10-1</f>
        <v>4.0000000000000036E-2</v>
      </c>
      <c r="G11" s="139">
        <f t="shared" ref="G11:H11" si="19">G10/F10-1</f>
        <v>7.0000000000000062E-2</v>
      </c>
      <c r="H11" s="139">
        <f t="shared" si="19"/>
        <v>5.0000000000000044E-2</v>
      </c>
      <c r="I11" s="113">
        <v>0.04</v>
      </c>
      <c r="J11" s="113">
        <f t="shared" ref="J11:N11" si="20">I11</f>
        <v>0.04</v>
      </c>
      <c r="K11" s="113">
        <f t="shared" si="20"/>
        <v>0.04</v>
      </c>
      <c r="L11" s="113">
        <f t="shared" si="20"/>
        <v>0.04</v>
      </c>
      <c r="M11" s="113">
        <f t="shared" si="20"/>
        <v>0.04</v>
      </c>
      <c r="N11" s="113">
        <f t="shared" si="20"/>
        <v>0.04</v>
      </c>
      <c r="O11" s="113">
        <f t="shared" ref="O11" si="21">N11</f>
        <v>0.04</v>
      </c>
      <c r="P11" s="113">
        <f t="shared" ref="P11" si="22">O11</f>
        <v>0.04</v>
      </c>
    </row>
    <row r="12" spans="1:18" s="4" customFormat="1" ht="14.4" x14ac:dyDescent="0.3">
      <c r="A12" s="10"/>
      <c r="B12" s="40"/>
      <c r="C12" s="49"/>
      <c r="D12" s="17"/>
      <c r="E12" s="44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</row>
    <row r="13" spans="1:18" s="4" customFormat="1" ht="14.4" x14ac:dyDescent="0.3">
      <c r="A13" s="10"/>
      <c r="B13" s="40"/>
      <c r="C13" s="7" t="s">
        <v>47</v>
      </c>
      <c r="D13" s="16" t="s">
        <v>6</v>
      </c>
      <c r="E13" s="101">
        <f>E15+E17</f>
        <v>-60114983.5</v>
      </c>
      <c r="F13" s="101">
        <f t="shared" ref="F13:N13" si="23">F15+F17</f>
        <v>-76149850.826400012</v>
      </c>
      <c r="G13" s="101">
        <f t="shared" si="23"/>
        <v>-83452493.874672011</v>
      </c>
      <c r="H13" s="101">
        <f t="shared" si="23"/>
        <v>-100624565.90167803</v>
      </c>
      <c r="I13" s="101">
        <f t="shared" si="23"/>
        <v>-116652708.31726515</v>
      </c>
      <c r="J13" s="101">
        <f t="shared" si="23"/>
        <v>-133802102.82065655</v>
      </c>
      <c r="K13" s="101">
        <f t="shared" si="23"/>
        <v>-150838542.78925875</v>
      </c>
      <c r="L13" s="101">
        <f t="shared" si="23"/>
        <v>-169023814.59083611</v>
      </c>
      <c r="M13" s="101">
        <f t="shared" si="23"/>
        <v>-186316266.58580893</v>
      </c>
      <c r="N13" s="101">
        <f t="shared" si="23"/>
        <v>-202531124.75947568</v>
      </c>
      <c r="O13" s="101">
        <f t="shared" ref="O13:P13" si="24">O15+O17</f>
        <v>-218226282.9253912</v>
      </c>
      <c r="P13" s="101">
        <f t="shared" si="24"/>
        <v>-233273470.00445318</v>
      </c>
    </row>
    <row r="14" spans="1:18" s="4" customFormat="1" ht="14.4" x14ac:dyDescent="0.3">
      <c r="A14" s="10"/>
      <c r="B14" s="40"/>
      <c r="C14" s="39" t="s">
        <v>49</v>
      </c>
      <c r="D14" s="51" t="s">
        <v>22</v>
      </c>
      <c r="E14" s="86">
        <f>E13/E$5</f>
        <v>-0.24066666666666667</v>
      </c>
      <c r="F14" s="86">
        <f t="shared" ref="F14:N14" si="25">F13/F$5</f>
        <v>-0.24259999999999998</v>
      </c>
      <c r="G14" s="86">
        <f t="shared" si="25"/>
        <v>-0.23639999999999997</v>
      </c>
      <c r="H14" s="86">
        <f t="shared" si="25"/>
        <v>-0.24033333333333334</v>
      </c>
      <c r="I14" s="86">
        <f t="shared" si="25"/>
        <v>-0.24033333333333334</v>
      </c>
      <c r="J14" s="86">
        <f t="shared" si="25"/>
        <v>-0.24033333333333334</v>
      </c>
      <c r="K14" s="86">
        <f t="shared" si="25"/>
        <v>-0.24033333333333329</v>
      </c>
      <c r="L14" s="86">
        <f t="shared" si="25"/>
        <v>-0.24033333333333334</v>
      </c>
      <c r="M14" s="86">
        <f t="shared" si="25"/>
        <v>-0.24033333333333332</v>
      </c>
      <c r="N14" s="86">
        <f t="shared" si="25"/>
        <v>-0.24033333333333332</v>
      </c>
      <c r="O14" s="86">
        <f t="shared" ref="O14:P14" si="26">O13/O$5</f>
        <v>-0.24033333333333332</v>
      </c>
      <c r="P14" s="86">
        <f t="shared" si="26"/>
        <v>-0.24033333333333332</v>
      </c>
    </row>
    <row r="15" spans="1:18" s="4" customFormat="1" ht="14.4" x14ac:dyDescent="0.3">
      <c r="A15" s="10"/>
      <c r="B15" s="63"/>
      <c r="C15" s="62" t="s">
        <v>34</v>
      </c>
      <c r="D15" s="6" t="s">
        <v>6</v>
      </c>
      <c r="E15" s="94">
        <f>Histórico!E9</f>
        <v>-58449748.5</v>
      </c>
      <c r="F15" s="94">
        <f>Histórico!F9</f>
        <v>-74580398.006400019</v>
      </c>
      <c r="G15" s="94">
        <f>Histórico!G9</f>
        <v>-81334410.273792014</v>
      </c>
      <c r="H15" s="94">
        <f>Histórico!H9</f>
        <v>-97972878.312036023</v>
      </c>
      <c r="I15" s="107">
        <f>I$5*I16</f>
        <v>-113578642.49475747</v>
      </c>
      <c r="J15" s="107">
        <f t="shared" ref="J15:P15" si="27">J$5*J16</f>
        <v>-130276111.20679736</v>
      </c>
      <c r="K15" s="107">
        <f t="shared" si="27"/>
        <v>-146863601.99453488</v>
      </c>
      <c r="L15" s="107">
        <f t="shared" si="27"/>
        <v>-164569650.26736054</v>
      </c>
      <c r="M15" s="107">
        <f t="shared" si="27"/>
        <v>-181406406.5786933</v>
      </c>
      <c r="N15" s="107">
        <f t="shared" si="27"/>
        <v>-197193966.13197216</v>
      </c>
      <c r="O15" s="107">
        <f t="shared" si="27"/>
        <v>-212475520.96203136</v>
      </c>
      <c r="P15" s="107">
        <f t="shared" si="27"/>
        <v>-227126180.22624984</v>
      </c>
    </row>
    <row r="16" spans="1:18" s="4" customFormat="1" ht="14.4" x14ac:dyDescent="0.3">
      <c r="A16" s="10"/>
      <c r="B16" s="40"/>
      <c r="C16" s="58" t="s">
        <v>49</v>
      </c>
      <c r="D16" s="51" t="s">
        <v>22</v>
      </c>
      <c r="E16" s="139">
        <f>E15/E$5</f>
        <v>-0.23400000000000001</v>
      </c>
      <c r="F16" s="139">
        <f t="shared" ref="F16:H16" si="28">F15/F$5</f>
        <v>-0.23760000000000001</v>
      </c>
      <c r="G16" s="139">
        <f t="shared" si="28"/>
        <v>-0.23039999999999999</v>
      </c>
      <c r="H16" s="139">
        <f t="shared" si="28"/>
        <v>-0.23399999999999999</v>
      </c>
      <c r="I16" s="113">
        <f>H16</f>
        <v>-0.23399999999999999</v>
      </c>
      <c r="J16" s="113">
        <f t="shared" ref="J16:N18" si="29">I16</f>
        <v>-0.23399999999999999</v>
      </c>
      <c r="K16" s="113">
        <f t="shared" si="29"/>
        <v>-0.23399999999999999</v>
      </c>
      <c r="L16" s="113">
        <f t="shared" si="29"/>
        <v>-0.23399999999999999</v>
      </c>
      <c r="M16" s="113">
        <f t="shared" si="29"/>
        <v>-0.23399999999999999</v>
      </c>
      <c r="N16" s="113">
        <f t="shared" si="29"/>
        <v>-0.23399999999999999</v>
      </c>
      <c r="O16" s="113">
        <f t="shared" ref="O16" si="30">N16</f>
        <v>-0.23399999999999999</v>
      </c>
      <c r="P16" s="113">
        <f t="shared" ref="P16" si="31">O16</f>
        <v>-0.23399999999999999</v>
      </c>
    </row>
    <row r="17" spans="1:17" s="4" customFormat="1" ht="14.4" x14ac:dyDescent="0.3">
      <c r="A17" s="10"/>
      <c r="B17" s="63"/>
      <c r="C17" s="62" t="s">
        <v>35</v>
      </c>
      <c r="D17" s="6" t="s">
        <v>6</v>
      </c>
      <c r="E17" s="94">
        <f>Histórico!E10</f>
        <v>-1665235</v>
      </c>
      <c r="F17" s="94">
        <f>Histórico!F10</f>
        <v>-1569452.8200000003</v>
      </c>
      <c r="G17" s="94">
        <f>Histórico!G10</f>
        <v>-2118083.6008800003</v>
      </c>
      <c r="H17" s="94">
        <f>Histórico!H10</f>
        <v>-2651687.5896420004</v>
      </c>
      <c r="I17" s="107">
        <f>I$5*I18</f>
        <v>-3074065.8225076804</v>
      </c>
      <c r="J17" s="107">
        <f t="shared" ref="J17:P17" si="32">J$5*J18</f>
        <v>-3525991.6138591873</v>
      </c>
      <c r="K17" s="107">
        <f t="shared" si="32"/>
        <v>-3974940.7947238781</v>
      </c>
      <c r="L17" s="107">
        <f t="shared" si="32"/>
        <v>-4454164.3234755695</v>
      </c>
      <c r="M17" s="107">
        <f t="shared" si="32"/>
        <v>-4909860.0071156304</v>
      </c>
      <c r="N17" s="107">
        <f t="shared" si="32"/>
        <v>-5337158.6275035199</v>
      </c>
      <c r="O17" s="107">
        <f t="shared" si="32"/>
        <v>-5750761.9633598225</v>
      </c>
      <c r="P17" s="107">
        <f t="shared" si="32"/>
        <v>-6147289.7782033421</v>
      </c>
    </row>
    <row r="18" spans="1:17" s="4" customFormat="1" ht="14.4" x14ac:dyDescent="0.3">
      <c r="A18" s="10"/>
      <c r="B18" s="40"/>
      <c r="C18" s="58" t="s">
        <v>49</v>
      </c>
      <c r="D18" s="51" t="s">
        <v>22</v>
      </c>
      <c r="E18" s="139">
        <f>E17/E$5</f>
        <v>-6.6666666666666671E-3</v>
      </c>
      <c r="F18" s="139">
        <f t="shared" ref="F18" si="33">F17/F$5</f>
        <v>-5.0000000000000001E-3</v>
      </c>
      <c r="G18" s="139">
        <f t="shared" ref="G18" si="34">G17/G$5</f>
        <v>-5.9999999999999993E-3</v>
      </c>
      <c r="H18" s="139">
        <f t="shared" ref="H18" si="35">H17/H$5</f>
        <v>-6.3333333333333323E-3</v>
      </c>
      <c r="I18" s="113">
        <f>H18</f>
        <v>-6.3333333333333323E-3</v>
      </c>
      <c r="J18" s="113">
        <f t="shared" si="29"/>
        <v>-6.3333333333333323E-3</v>
      </c>
      <c r="K18" s="113">
        <f t="shared" si="29"/>
        <v>-6.3333333333333323E-3</v>
      </c>
      <c r="L18" s="113">
        <f t="shared" si="29"/>
        <v>-6.3333333333333323E-3</v>
      </c>
      <c r="M18" s="113">
        <f t="shared" si="29"/>
        <v>-6.3333333333333323E-3</v>
      </c>
      <c r="N18" s="113">
        <f t="shared" si="29"/>
        <v>-6.3333333333333323E-3</v>
      </c>
      <c r="O18" s="113">
        <f t="shared" ref="O18" si="36">N18</f>
        <v>-6.3333333333333323E-3</v>
      </c>
      <c r="P18" s="113">
        <f t="shared" ref="P18" si="37">O18</f>
        <v>-6.3333333333333323E-3</v>
      </c>
    </row>
    <row r="19" spans="1:17" s="4" customFormat="1" ht="14.4" x14ac:dyDescent="0.3">
      <c r="A19" s="10"/>
      <c r="B19" s="40"/>
      <c r="C19" s="49"/>
      <c r="D19" s="51"/>
      <c r="E19" s="44"/>
      <c r="F19" s="44"/>
      <c r="G19" s="44"/>
      <c r="H19" s="44"/>
      <c r="I19" s="74"/>
      <c r="J19" s="74"/>
      <c r="K19" s="74"/>
      <c r="L19" s="74"/>
      <c r="M19" s="74"/>
      <c r="N19" s="74"/>
      <c r="O19" s="74"/>
      <c r="P19" s="74"/>
    </row>
    <row r="20" spans="1:17" s="4" customFormat="1" ht="15" thickBot="1" x14ac:dyDescent="0.35">
      <c r="A20" s="10"/>
      <c r="B20" s="40"/>
      <c r="C20" s="53" t="s">
        <v>40</v>
      </c>
      <c r="D20" s="52" t="s">
        <v>6</v>
      </c>
      <c r="E20" s="103">
        <f>E5+E13</f>
        <v>189670266.5</v>
      </c>
      <c r="F20" s="103">
        <f t="shared" ref="F20:N20" si="38">F5+F13</f>
        <v>237740713.17360005</v>
      </c>
      <c r="G20" s="103">
        <f t="shared" si="38"/>
        <v>269561439.60532808</v>
      </c>
      <c r="H20" s="103">
        <f t="shared" si="38"/>
        <v>318062948.25232208</v>
      </c>
      <c r="I20" s="103">
        <f t="shared" si="38"/>
        <v>368726105.76289499</v>
      </c>
      <c r="J20" s="103">
        <f t="shared" si="38"/>
        <v>422933415.15710998</v>
      </c>
      <c r="K20" s="103">
        <f t="shared" si="38"/>
        <v>476783687.95661688</v>
      </c>
      <c r="L20" s="103">
        <f t="shared" si="38"/>
        <v>534265289.11583287</v>
      </c>
      <c r="M20" s="103">
        <f t="shared" si="38"/>
        <v>588924787.16929078</v>
      </c>
      <c r="N20" s="103">
        <f t="shared" si="38"/>
        <v>640178132.21476436</v>
      </c>
      <c r="O20" s="103">
        <f t="shared" ref="O20:P20" si="39">O5+O13</f>
        <v>689788763.92089677</v>
      </c>
      <c r="P20" s="103">
        <f t="shared" si="39"/>
        <v>737351231.81712735</v>
      </c>
    </row>
    <row r="21" spans="1:17" s="4" customFormat="1" ht="14.4" x14ac:dyDescent="0.3">
      <c r="A21" s="10"/>
      <c r="B21" s="40"/>
      <c r="C21" s="39" t="s">
        <v>49</v>
      </c>
      <c r="D21" s="51" t="s">
        <v>22</v>
      </c>
      <c r="E21" s="86">
        <f>E20/E$5</f>
        <v>0.7593333333333333</v>
      </c>
      <c r="F21" s="86">
        <f t="shared" ref="F21:N21" si="40">F20/F$5</f>
        <v>0.75739999999999996</v>
      </c>
      <c r="G21" s="86">
        <f t="shared" si="40"/>
        <v>0.76360000000000006</v>
      </c>
      <c r="H21" s="86">
        <f t="shared" si="40"/>
        <v>0.75966666666666671</v>
      </c>
      <c r="I21" s="86">
        <f t="shared" si="40"/>
        <v>0.75966666666666671</v>
      </c>
      <c r="J21" s="86">
        <f t="shared" si="40"/>
        <v>0.75966666666666671</v>
      </c>
      <c r="K21" s="86">
        <f t="shared" si="40"/>
        <v>0.75966666666666671</v>
      </c>
      <c r="L21" s="86">
        <f t="shared" si="40"/>
        <v>0.75966666666666671</v>
      </c>
      <c r="M21" s="86">
        <f t="shared" si="40"/>
        <v>0.75966666666666671</v>
      </c>
      <c r="N21" s="86">
        <f t="shared" si="40"/>
        <v>0.7596666666666666</v>
      </c>
      <c r="O21" s="86">
        <f t="shared" ref="O21:P21" si="41">O20/O$5</f>
        <v>0.75966666666666671</v>
      </c>
      <c r="P21" s="86">
        <f t="shared" si="41"/>
        <v>0.75966666666666671</v>
      </c>
    </row>
    <row r="22" spans="1:17" s="4" customFormat="1" ht="14.4" x14ac:dyDescent="0.3">
      <c r="A22" s="10"/>
      <c r="B22" s="40"/>
      <c r="C22" s="49"/>
      <c r="D22" s="17"/>
      <c r="E22" s="44"/>
      <c r="F22" s="44"/>
      <c r="G22" s="44"/>
      <c r="H22" s="44"/>
      <c r="I22" s="74"/>
      <c r="J22" s="74"/>
      <c r="K22" s="74"/>
      <c r="L22" s="74"/>
      <c r="M22" s="74"/>
      <c r="N22" s="74"/>
      <c r="O22" s="74"/>
      <c r="P22" s="74"/>
    </row>
    <row r="23" spans="1:17" s="4" customFormat="1" ht="14.4" x14ac:dyDescent="0.3">
      <c r="A23" s="10"/>
      <c r="B23" s="40"/>
      <c r="C23" s="7" t="s">
        <v>98</v>
      </c>
      <c r="D23" s="16" t="s">
        <v>6</v>
      </c>
      <c r="E23" s="102">
        <f>E26+E28</f>
        <v>-149246862.34999996</v>
      </c>
      <c r="F23" s="102">
        <f t="shared" ref="F23:N23" si="42">F26+F28</f>
        <v>-181764456.79440004</v>
      </c>
      <c r="G23" s="102">
        <f t="shared" si="42"/>
        <v>-208785041.97007602</v>
      </c>
      <c r="H23" s="102">
        <f t="shared" si="42"/>
        <v>-246094437.33993307</v>
      </c>
      <c r="I23" s="102">
        <f t="shared" si="42"/>
        <v>-285211464.46825039</v>
      </c>
      <c r="J23" s="102">
        <f t="shared" si="42"/>
        <v>-327064102.66708916</v>
      </c>
      <c r="K23" s="102">
        <f t="shared" si="42"/>
        <v>-368579521.16025156</v>
      </c>
      <c r="L23" s="102">
        <f t="shared" si="42"/>
        <v>-412939594.6025002</v>
      </c>
      <c r="M23" s="102">
        <f t="shared" si="42"/>
        <v>-455068460.14186084</v>
      </c>
      <c r="N23" s="102">
        <f t="shared" si="42"/>
        <v>-494509033.56681865</v>
      </c>
      <c r="O23" s="102">
        <f t="shared" ref="O23:P23" si="43">O26+O28</f>
        <v>-532704278.29014868</v>
      </c>
      <c r="P23" s="102">
        <f t="shared" si="43"/>
        <v>-569453885.51869726</v>
      </c>
    </row>
    <row r="24" spans="1:17" s="4" customFormat="1" ht="14.4" x14ac:dyDescent="0.3">
      <c r="A24" s="10"/>
      <c r="B24" s="40"/>
      <c r="C24" s="39" t="s">
        <v>49</v>
      </c>
      <c r="D24" s="51" t="s">
        <v>22</v>
      </c>
      <c r="E24" s="86">
        <f>E23/E$5</f>
        <v>-0.59750070250345033</v>
      </c>
      <c r="F24" s="86">
        <f t="shared" ref="F24:H24" si="44">F23/F$5</f>
        <v>-0.57906951543277363</v>
      </c>
      <c r="G24" s="86">
        <f t="shared" si="44"/>
        <v>-0.59143569748615799</v>
      </c>
      <c r="H24" s="86">
        <f t="shared" si="44"/>
        <v>-0.58777591645452198</v>
      </c>
      <c r="I24" s="86">
        <f t="shared" ref="I24:N24" si="45">I23/I$5</f>
        <v>-0.58760591973663656</v>
      </c>
      <c r="J24" s="86">
        <f t="shared" si="45"/>
        <v>-0.58746764326279366</v>
      </c>
      <c r="K24" s="86">
        <f t="shared" si="45"/>
        <v>-0.58726332992097197</v>
      </c>
      <c r="L24" s="86">
        <f t="shared" si="45"/>
        <v>-0.5871548306750547</v>
      </c>
      <c r="M24" s="86">
        <f t="shared" si="45"/>
        <v>-0.58700253029378135</v>
      </c>
      <c r="N24" s="86">
        <f t="shared" si="45"/>
        <v>-0.58680859320610834</v>
      </c>
      <c r="O24" s="86">
        <f t="shared" ref="O24:P24" si="46">O23/O$5</f>
        <v>-0.58666899864747146</v>
      </c>
      <c r="P24" s="86">
        <f t="shared" si="46"/>
        <v>-0.58668802107549678</v>
      </c>
    </row>
    <row r="25" spans="1:17" s="4" customFormat="1" ht="14.4" x14ac:dyDescent="0.3">
      <c r="A25" s="10"/>
      <c r="B25" s="40"/>
      <c r="C25" s="27"/>
      <c r="D25" s="17"/>
      <c r="E25" s="44"/>
      <c r="F25" s="44"/>
      <c r="G25" s="44"/>
      <c r="H25" s="44"/>
      <c r="I25" s="74"/>
      <c r="J25" s="74"/>
      <c r="K25" s="74"/>
      <c r="L25" s="74"/>
      <c r="M25" s="74"/>
      <c r="N25" s="74"/>
      <c r="O25" s="74"/>
      <c r="P25" s="74"/>
    </row>
    <row r="26" spans="1:17" s="18" customFormat="1" ht="14.4" x14ac:dyDescent="0.3">
      <c r="A26" s="20"/>
      <c r="B26" s="55"/>
      <c r="C26" s="22" t="s">
        <v>37</v>
      </c>
      <c r="D26" s="60" t="s">
        <v>6</v>
      </c>
      <c r="E26" s="99">
        <f>Histórico!E16</f>
        <v>-143226862.34999996</v>
      </c>
      <c r="F26" s="99">
        <f>Histórico!F16</f>
        <v>-174083706.79440004</v>
      </c>
      <c r="G26" s="99">
        <f>Histórico!G16</f>
        <v>-200759023.97007602</v>
      </c>
      <c r="H26" s="99">
        <f>Histórico!H16</f>
        <v>-236349101.73993307</v>
      </c>
      <c r="I26" s="108">
        <f>I$5*I27</f>
        <v>-273996340.54825038</v>
      </c>
      <c r="J26" s="108">
        <f t="shared" ref="J26:P26" si="47">J$5*J27</f>
        <v>-314277199.89844918</v>
      </c>
      <c r="K26" s="108">
        <f t="shared" si="47"/>
        <v>-354292749.25604677</v>
      </c>
      <c r="L26" s="108">
        <f t="shared" si="47"/>
        <v>-397006699.04241467</v>
      </c>
      <c r="M26" s="108">
        <f t="shared" si="47"/>
        <v>-437623574.84475374</v>
      </c>
      <c r="N26" s="108">
        <f t="shared" si="47"/>
        <v>-475709375.56195849</v>
      </c>
      <c r="O26" s="108">
        <f t="shared" si="47"/>
        <v>-512574493.94472957</v>
      </c>
      <c r="P26" s="108">
        <f t="shared" si="47"/>
        <v>-547917644.17828226</v>
      </c>
    </row>
    <row r="27" spans="1:17" s="4" customFormat="1" ht="14.4" x14ac:dyDescent="0.3">
      <c r="A27" s="10"/>
      <c r="B27" s="40"/>
      <c r="C27" s="58" t="s">
        <v>49</v>
      </c>
      <c r="D27" s="51" t="s">
        <v>22</v>
      </c>
      <c r="E27" s="139">
        <f>E26/E$5</f>
        <v>-0.57339999999999991</v>
      </c>
      <c r="F27" s="139">
        <f t="shared" ref="F27" si="48">F26/F$5</f>
        <v>-0.55459999999999998</v>
      </c>
      <c r="G27" s="139">
        <f t="shared" ref="G27" si="49">G26/G$5</f>
        <v>-0.56869999999999998</v>
      </c>
      <c r="H27" s="139">
        <f t="shared" ref="H27" si="50">H26/H$5</f>
        <v>-0.5645</v>
      </c>
      <c r="I27" s="113">
        <f>H27</f>
        <v>-0.5645</v>
      </c>
      <c r="J27" s="113">
        <f t="shared" ref="J27" si="51">I27</f>
        <v>-0.5645</v>
      </c>
      <c r="K27" s="113">
        <f t="shared" ref="K27" si="52">J27</f>
        <v>-0.5645</v>
      </c>
      <c r="L27" s="113">
        <f t="shared" ref="L27" si="53">K27</f>
        <v>-0.5645</v>
      </c>
      <c r="M27" s="113">
        <f t="shared" ref="M27" si="54">L27</f>
        <v>-0.5645</v>
      </c>
      <c r="N27" s="113">
        <f t="shared" ref="N27" si="55">M27</f>
        <v>-0.5645</v>
      </c>
      <c r="O27" s="113">
        <f t="shared" ref="O27" si="56">N27</f>
        <v>-0.5645</v>
      </c>
      <c r="P27" s="113">
        <f t="shared" ref="P27" si="57">O27</f>
        <v>-0.5645</v>
      </c>
    </row>
    <row r="28" spans="1:17" s="18" customFormat="1" ht="14.4" x14ac:dyDescent="0.3">
      <c r="A28" s="20"/>
      <c r="B28" s="55"/>
      <c r="C28" s="22" t="s">
        <v>52</v>
      </c>
      <c r="D28" s="60" t="s">
        <v>6</v>
      </c>
      <c r="E28" s="99">
        <f>Histórico!E17</f>
        <v>-6020000</v>
      </c>
      <c r="F28" s="99">
        <f>Histórico!F17</f>
        <v>-7680750</v>
      </c>
      <c r="G28" s="99">
        <f>Histórico!G17</f>
        <v>-8026018</v>
      </c>
      <c r="H28" s="99">
        <f>Histórico!H17</f>
        <v>-9745335.5999999996</v>
      </c>
      <c r="I28" s="108">
        <f t="shared" ref="I28:N28" si="58">I30*I32</f>
        <v>-11215123.920000002</v>
      </c>
      <c r="J28" s="108">
        <f t="shared" si="58"/>
        <v>-12786902.768640002</v>
      </c>
      <c r="K28" s="108">
        <f t="shared" si="58"/>
        <v>-14286771.904204804</v>
      </c>
      <c r="L28" s="108">
        <f t="shared" si="58"/>
        <v>-15932895.560085511</v>
      </c>
      <c r="M28" s="108">
        <f t="shared" si="58"/>
        <v>-17444885.297107115</v>
      </c>
      <c r="N28" s="108">
        <f t="shared" si="58"/>
        <v>-18799658.00486017</v>
      </c>
      <c r="O28" s="108">
        <f t="shared" ref="O28:P28" si="59">O30*O32</f>
        <v>-20129784.345419094</v>
      </c>
      <c r="P28" s="108">
        <f t="shared" si="59"/>
        <v>-21536241.340414956</v>
      </c>
    </row>
    <row r="29" spans="1:17" s="4" customFormat="1" ht="14.4" x14ac:dyDescent="0.3">
      <c r="A29" s="10"/>
      <c r="B29" s="40"/>
      <c r="C29" s="58" t="s">
        <v>49</v>
      </c>
      <c r="D29" s="51" t="s">
        <v>22</v>
      </c>
      <c r="E29" s="106">
        <f>E28/E$5</f>
        <v>-2.4100702503450463E-2</v>
      </c>
      <c r="F29" s="106">
        <f t="shared" ref="F29:N29" si="60">F28/F$5</f>
        <v>-2.4469515432773564E-2</v>
      </c>
      <c r="G29" s="106">
        <f t="shared" si="60"/>
        <v>-2.2735697486158044E-2</v>
      </c>
      <c r="H29" s="106">
        <f t="shared" si="60"/>
        <v>-2.327591645452199E-2</v>
      </c>
      <c r="I29" s="106">
        <f t="shared" si="60"/>
        <v>-2.3105919736636522E-2</v>
      </c>
      <c r="J29" s="106">
        <f t="shared" si="60"/>
        <v>-2.2967643262793686E-2</v>
      </c>
      <c r="K29" s="106">
        <f t="shared" si="60"/>
        <v>-2.2763329920972034E-2</v>
      </c>
      <c r="L29" s="106">
        <f t="shared" si="60"/>
        <v>-2.2654830675054614E-2</v>
      </c>
      <c r="M29" s="106">
        <f t="shared" si="60"/>
        <v>-2.2502530293781364E-2</v>
      </c>
      <c r="N29" s="106">
        <f t="shared" si="60"/>
        <v>-2.2308593206108378E-2</v>
      </c>
      <c r="O29" s="106">
        <f t="shared" ref="O29:P29" si="61">O28/O$5</f>
        <v>-2.2168998647471461E-2</v>
      </c>
      <c r="P29" s="106">
        <f t="shared" si="61"/>
        <v>-2.2188021075496729E-2</v>
      </c>
    </row>
    <row r="30" spans="1:17" s="18" customFormat="1" ht="14.4" x14ac:dyDescent="0.3">
      <c r="A30" s="20"/>
      <c r="B30" s="55"/>
      <c r="C30" s="149" t="s">
        <v>53</v>
      </c>
      <c r="D30" s="60" t="s">
        <v>23</v>
      </c>
      <c r="E30" s="99">
        <f>Histórico!E18</f>
        <v>172</v>
      </c>
      <c r="F30" s="99">
        <f>Histórico!F18</f>
        <v>210</v>
      </c>
      <c r="G30" s="99">
        <f>Histórico!G18</f>
        <v>211</v>
      </c>
      <c r="H30" s="99">
        <f>Histórico!H18</f>
        <v>244</v>
      </c>
      <c r="I30" s="108">
        <f>ROUND(I8/I31,0)</f>
        <v>270</v>
      </c>
      <c r="J30" s="108">
        <f t="shared" ref="J30:N30" si="62">ROUND(J8/J31,0)</f>
        <v>296</v>
      </c>
      <c r="K30" s="108">
        <f t="shared" si="62"/>
        <v>318</v>
      </c>
      <c r="L30" s="108">
        <f t="shared" si="62"/>
        <v>341</v>
      </c>
      <c r="M30" s="108">
        <f t="shared" si="62"/>
        <v>359</v>
      </c>
      <c r="N30" s="108">
        <f t="shared" si="62"/>
        <v>372</v>
      </c>
      <c r="O30" s="108">
        <f t="shared" ref="O30:P30" si="63">ROUND(O8/O31,0)</f>
        <v>383</v>
      </c>
      <c r="P30" s="108">
        <f t="shared" si="63"/>
        <v>394</v>
      </c>
    </row>
    <row r="31" spans="1:17" s="4" customFormat="1" ht="14.4" x14ac:dyDescent="0.3">
      <c r="A31" s="10"/>
      <c r="B31" s="40"/>
      <c r="C31" s="144" t="s">
        <v>101</v>
      </c>
      <c r="D31" s="17" t="s">
        <v>23</v>
      </c>
      <c r="E31" s="138">
        <f>E8/E30</f>
        <v>706.68604651162786</v>
      </c>
      <c r="F31" s="138">
        <f t="shared" ref="F31:H31" si="64">F8/F30</f>
        <v>699.38095238095241</v>
      </c>
      <c r="G31" s="138">
        <f t="shared" si="64"/>
        <v>731.61137440758296</v>
      </c>
      <c r="H31" s="138">
        <f t="shared" si="64"/>
        <v>714.63114754098365</v>
      </c>
      <c r="I31" s="152">
        <v>720</v>
      </c>
      <c r="J31" s="152">
        <v>725</v>
      </c>
      <c r="K31" s="152">
        <v>730</v>
      </c>
      <c r="L31" s="152">
        <v>735</v>
      </c>
      <c r="M31" s="152">
        <v>740</v>
      </c>
      <c r="N31" s="152">
        <v>745</v>
      </c>
      <c r="O31" s="152">
        <v>750</v>
      </c>
      <c r="P31" s="152">
        <f t="shared" ref="P31" si="65">O31</f>
        <v>750</v>
      </c>
      <c r="Q31" s="18"/>
    </row>
    <row r="32" spans="1:17" s="18" customFormat="1" ht="14.4" x14ac:dyDescent="0.3">
      <c r="A32" s="20"/>
      <c r="B32" s="55"/>
      <c r="C32" s="149" t="s">
        <v>103</v>
      </c>
      <c r="D32" s="60" t="s">
        <v>100</v>
      </c>
      <c r="E32" s="138">
        <f>E28/E30</f>
        <v>-35000</v>
      </c>
      <c r="F32" s="138">
        <f>F28/F30</f>
        <v>-36575</v>
      </c>
      <c r="G32" s="138">
        <f>G28/G30</f>
        <v>-38038</v>
      </c>
      <c r="H32" s="138">
        <f>H28/H30</f>
        <v>-39939.9</v>
      </c>
      <c r="I32" s="108">
        <f>H32*(1+I33)</f>
        <v>-41537.496000000006</v>
      </c>
      <c r="J32" s="108">
        <f t="shared" ref="J32:N32" si="66">I32*(1+J33)</f>
        <v>-43198.995840000011</v>
      </c>
      <c r="K32" s="108">
        <f t="shared" si="66"/>
        <v>-44926.955673600016</v>
      </c>
      <c r="L32" s="108">
        <f t="shared" si="66"/>
        <v>-46724.033900544018</v>
      </c>
      <c r="M32" s="108">
        <f t="shared" si="66"/>
        <v>-48592.99525656578</v>
      </c>
      <c r="N32" s="108">
        <f t="shared" si="66"/>
        <v>-50536.715066828416</v>
      </c>
      <c r="O32" s="108">
        <f t="shared" ref="O32" si="67">N32*(1+O33)</f>
        <v>-52558.183669501552</v>
      </c>
      <c r="P32" s="108">
        <f t="shared" ref="P32" si="68">O32*(1+P33)</f>
        <v>-54660.511016281613</v>
      </c>
    </row>
    <row r="33" spans="1:17" s="36" customFormat="1" ht="14.4" x14ac:dyDescent="0.3">
      <c r="A33" s="37"/>
      <c r="B33" s="146"/>
      <c r="C33" s="145" t="s">
        <v>99</v>
      </c>
      <c r="D33" s="147" t="s">
        <v>22</v>
      </c>
      <c r="E33" s="148"/>
      <c r="F33" s="139">
        <f>F32/E32-1</f>
        <v>4.4999999999999929E-2</v>
      </c>
      <c r="G33" s="139">
        <f t="shared" ref="G33:H33" si="69">G32/F32-1</f>
        <v>4.0000000000000036E-2</v>
      </c>
      <c r="H33" s="139">
        <f t="shared" si="69"/>
        <v>5.0000000000000044E-2</v>
      </c>
      <c r="I33" s="113">
        <v>0.04</v>
      </c>
      <c r="J33" s="113">
        <f t="shared" ref="J33" si="70">I33</f>
        <v>0.04</v>
      </c>
      <c r="K33" s="113">
        <f t="shared" ref="K33" si="71">J33</f>
        <v>0.04</v>
      </c>
      <c r="L33" s="113">
        <f t="shared" ref="L33" si="72">K33</f>
        <v>0.04</v>
      </c>
      <c r="M33" s="113">
        <f t="shared" ref="M33" si="73">L33</f>
        <v>0.04</v>
      </c>
      <c r="N33" s="113">
        <f t="shared" ref="N33" si="74">M33</f>
        <v>0.04</v>
      </c>
      <c r="O33" s="113">
        <f t="shared" ref="O33" si="75">N33</f>
        <v>0.04</v>
      </c>
      <c r="P33" s="113">
        <f t="shared" ref="P33" si="76">O33</f>
        <v>0.04</v>
      </c>
    </row>
    <row r="34" spans="1:17" s="4" customFormat="1" ht="14.4" x14ac:dyDescent="0.3">
      <c r="A34" s="10"/>
      <c r="B34" s="40"/>
      <c r="C34" s="27"/>
      <c r="D34" s="17"/>
      <c r="E34" s="44"/>
      <c r="F34" s="44"/>
      <c r="G34" s="44"/>
      <c r="H34" s="44"/>
      <c r="I34" s="74"/>
      <c r="J34" s="74"/>
      <c r="K34" s="74"/>
      <c r="L34" s="74"/>
      <c r="M34" s="74"/>
      <c r="N34" s="74"/>
      <c r="O34" s="74"/>
      <c r="P34" s="74"/>
    </row>
    <row r="35" spans="1:17" s="4" customFormat="1" ht="15" thickBot="1" x14ac:dyDescent="0.35">
      <c r="A35" s="10"/>
      <c r="B35" s="40"/>
      <c r="C35" s="53" t="s">
        <v>54</v>
      </c>
      <c r="D35" s="52" t="s">
        <v>6</v>
      </c>
      <c r="E35" s="100">
        <f t="shared" ref="E35:N35" si="77">E20+E23</f>
        <v>40423404.150000036</v>
      </c>
      <c r="F35" s="100">
        <f t="shared" si="77"/>
        <v>55976256.379200011</v>
      </c>
      <c r="G35" s="100">
        <f t="shared" si="77"/>
        <v>60776397.635252059</v>
      </c>
      <c r="H35" s="100">
        <f t="shared" si="77"/>
        <v>71968510.91238901</v>
      </c>
      <c r="I35" s="100">
        <f t="shared" si="77"/>
        <v>83514641.294644594</v>
      </c>
      <c r="J35" s="100">
        <f t="shared" si="77"/>
        <v>95869312.490020812</v>
      </c>
      <c r="K35" s="100">
        <f t="shared" si="77"/>
        <v>108204166.79636532</v>
      </c>
      <c r="L35" s="100">
        <f t="shared" si="77"/>
        <v>121325694.51333266</v>
      </c>
      <c r="M35" s="100">
        <f t="shared" si="77"/>
        <v>133856327.02742994</v>
      </c>
      <c r="N35" s="100">
        <f t="shared" si="77"/>
        <v>145669098.6479457</v>
      </c>
      <c r="O35" s="100">
        <f t="shared" ref="O35:P35" si="78">O20+O23</f>
        <v>157084485.63074809</v>
      </c>
      <c r="P35" s="100">
        <f t="shared" si="78"/>
        <v>167897346.29843009</v>
      </c>
    </row>
    <row r="36" spans="1:17" s="4" customFormat="1" ht="14.4" x14ac:dyDescent="0.3">
      <c r="A36" s="10"/>
      <c r="B36" s="40"/>
      <c r="C36" s="39" t="s">
        <v>55</v>
      </c>
      <c r="D36" s="51" t="s">
        <v>22</v>
      </c>
      <c r="E36" s="86">
        <f>E35/E$20</f>
        <v>0.21312462356876605</v>
      </c>
      <c r="F36" s="86">
        <f t="shared" ref="F36:N36" si="79">F35/F$20</f>
        <v>0.23545086422924008</v>
      </c>
      <c r="G36" s="86">
        <f t="shared" si="79"/>
        <v>0.22546398967239664</v>
      </c>
      <c r="H36" s="86">
        <f t="shared" si="79"/>
        <v>0.22627128154297232</v>
      </c>
      <c r="I36" s="86">
        <f t="shared" si="79"/>
        <v>0.22649505958319022</v>
      </c>
      <c r="J36" s="86">
        <f t="shared" si="79"/>
        <v>0.2266770821463884</v>
      </c>
      <c r="K36" s="86">
        <f t="shared" si="79"/>
        <v>0.22694603345198955</v>
      </c>
      <c r="L36" s="86">
        <f t="shared" si="79"/>
        <v>0.22708885826012984</v>
      </c>
      <c r="M36" s="86">
        <f t="shared" si="79"/>
        <v>0.22728934142986232</v>
      </c>
      <c r="N36" s="86">
        <f t="shared" si="79"/>
        <v>0.22754463377870773</v>
      </c>
      <c r="O36" s="86">
        <f t="shared" ref="O36:P36" si="80">O35/O$20</f>
        <v>0.22772839142500464</v>
      </c>
      <c r="P36" s="86">
        <f t="shared" si="80"/>
        <v>0.22770335093177249</v>
      </c>
    </row>
    <row r="37" spans="1:17" s="4" customFormat="1" ht="14.4" x14ac:dyDescent="0.3">
      <c r="A37" s="10"/>
      <c r="B37" s="40"/>
      <c r="C37" s="27"/>
      <c r="D37" s="17"/>
      <c r="E37" s="44"/>
      <c r="F37" s="44"/>
      <c r="G37" s="44"/>
      <c r="H37" s="44"/>
      <c r="I37" s="74"/>
      <c r="J37" s="74"/>
      <c r="K37" s="74"/>
      <c r="L37" s="74"/>
      <c r="M37" s="74"/>
      <c r="N37" s="74"/>
      <c r="O37" s="74"/>
      <c r="P37" s="74"/>
    </row>
    <row r="38" spans="1:17" s="4" customFormat="1" ht="14.4" x14ac:dyDescent="0.3">
      <c r="A38" s="10"/>
      <c r="B38" s="40"/>
      <c r="C38" s="7" t="s">
        <v>56</v>
      </c>
      <c r="D38" s="16" t="s">
        <v>6</v>
      </c>
      <c r="E38" s="102">
        <f>E41+E56</f>
        <v>-19277517.375</v>
      </c>
      <c r="F38" s="102">
        <f t="shared" ref="F38:N38" si="81">F41+F56</f>
        <v>-22537633.996000003</v>
      </c>
      <c r="G38" s="102">
        <f t="shared" si="81"/>
        <v>-26102115.801748</v>
      </c>
      <c r="H38" s="102">
        <f t="shared" si="81"/>
        <v>-29072443.525827605</v>
      </c>
      <c r="I38" s="102">
        <f t="shared" si="81"/>
        <v>-32335042.988359913</v>
      </c>
      <c r="J38" s="102">
        <f t="shared" si="81"/>
        <v>-35812134.498253472</v>
      </c>
      <c r="K38" s="102">
        <f t="shared" si="81"/>
        <v>-39530626.542757638</v>
      </c>
      <c r="L38" s="102">
        <f t="shared" si="81"/>
        <v>-43191804.844989873</v>
      </c>
      <c r="M38" s="102">
        <f t="shared" si="81"/>
        <v>-46785526.192529157</v>
      </c>
      <c r="N38" s="102">
        <f t="shared" si="81"/>
        <v>-50313601.534906425</v>
      </c>
      <c r="O38" s="102">
        <f t="shared" ref="O38:P38" si="82">O41+O56</f>
        <v>-53603093.109696448</v>
      </c>
      <c r="P38" s="102">
        <f t="shared" si="82"/>
        <v>-57093454.669136554</v>
      </c>
    </row>
    <row r="39" spans="1:17" s="4" customFormat="1" ht="14.4" x14ac:dyDescent="0.3">
      <c r="A39" s="10"/>
      <c r="B39" s="40"/>
      <c r="C39" s="39" t="s">
        <v>49</v>
      </c>
      <c r="D39" s="51" t="s">
        <v>22</v>
      </c>
      <c r="E39" s="86">
        <f>E38/E$5</f>
        <v>-7.7176363996673145E-2</v>
      </c>
      <c r="F39" s="86">
        <f t="shared" ref="F39:H39" si="83">F38/F$5</f>
        <v>-7.1800928670159067E-2</v>
      </c>
      <c r="G39" s="86">
        <f t="shared" si="83"/>
        <v>-7.3940752265595225E-2</v>
      </c>
      <c r="H39" s="86">
        <f t="shared" si="83"/>
        <v>-6.9437092206036707E-2</v>
      </c>
      <c r="I39" s="86">
        <f t="shared" ref="I39:N39" si="84">I38/I$5</f>
        <v>-6.6618158952071183E-2</v>
      </c>
      <c r="J39" s="86">
        <f t="shared" si="84"/>
        <v>-6.432521968121252E-2</v>
      </c>
      <c r="K39" s="86">
        <f t="shared" si="84"/>
        <v>-6.2984745610076387E-2</v>
      </c>
      <c r="L39" s="86">
        <f t="shared" si="84"/>
        <v>-6.1414011133328332E-2</v>
      </c>
      <c r="M39" s="86">
        <f t="shared" si="84"/>
        <v>-6.0349649913288526E-2</v>
      </c>
      <c r="N39" s="86">
        <f t="shared" si="84"/>
        <v>-5.97045791517209E-2</v>
      </c>
      <c r="O39" s="86">
        <f t="shared" ref="O39:P39" si="85">O38/O$5</f>
        <v>-5.9033265248048881E-2</v>
      </c>
      <c r="P39" s="86">
        <f t="shared" si="85"/>
        <v>-5.8821349345415101E-2</v>
      </c>
    </row>
    <row r="40" spans="1:17" s="4" customFormat="1" ht="14.4" x14ac:dyDescent="0.3">
      <c r="A40" s="10"/>
      <c r="B40" s="40"/>
      <c r="C40" s="27"/>
      <c r="D40" s="17"/>
      <c r="E40" s="131"/>
      <c r="F40" s="44"/>
      <c r="G40" s="44"/>
      <c r="H40" s="44"/>
      <c r="I40" s="74"/>
      <c r="J40" s="74"/>
      <c r="K40" s="74"/>
      <c r="L40" s="74"/>
      <c r="M40" s="74"/>
      <c r="N40" s="74"/>
      <c r="O40" s="74"/>
      <c r="P40" s="74"/>
    </row>
    <row r="41" spans="1:17" s="4" customFormat="1" ht="14.4" x14ac:dyDescent="0.3">
      <c r="A41" s="10"/>
      <c r="B41" s="40"/>
      <c r="C41" s="7" t="s">
        <v>57</v>
      </c>
      <c r="D41" s="16" t="s">
        <v>6</v>
      </c>
      <c r="E41" s="102">
        <f>SUM(E43,E49,E51,E53)</f>
        <v>-10441128</v>
      </c>
      <c r="F41" s="102">
        <f t="shared" ref="F41:N41" si="86">SUM(F43,F49,F51,F53)</f>
        <v>-13126311.935200002</v>
      </c>
      <c r="G41" s="102">
        <f t="shared" si="86"/>
        <v>-16031489.129236002</v>
      </c>
      <c r="H41" s="102">
        <f t="shared" si="86"/>
        <v>-18181382.322696604</v>
      </c>
      <c r="I41" s="102">
        <f t="shared" si="86"/>
        <v>-21008339.337103669</v>
      </c>
      <c r="J41" s="102">
        <f t="shared" si="86"/>
        <v>-24032362.700946983</v>
      </c>
      <c r="K41" s="102">
        <f t="shared" si="86"/>
        <v>-27081569.457573839</v>
      </c>
      <c r="L41" s="102">
        <f t="shared" si="86"/>
        <v>-30244785.476398718</v>
      </c>
      <c r="M41" s="102">
        <f t="shared" si="86"/>
        <v>-33320626.049194355</v>
      </c>
      <c r="N41" s="102">
        <f t="shared" si="86"/>
        <v>-36087276.108695626</v>
      </c>
      <c r="O41" s="102">
        <f t="shared" ref="O41:P41" si="87">SUM(O43,O49,O51,O53)</f>
        <v>-38807714.666437216</v>
      </c>
      <c r="P41" s="102">
        <f t="shared" si="87"/>
        <v>-41465248.941989504</v>
      </c>
    </row>
    <row r="42" spans="1:17" s="4" customFormat="1" ht="14.4" x14ac:dyDescent="0.3">
      <c r="A42" s="10"/>
      <c r="B42" s="40"/>
      <c r="C42" s="39" t="s">
        <v>49</v>
      </c>
      <c r="D42" s="51" t="s">
        <v>22</v>
      </c>
      <c r="E42" s="86">
        <f>E41/E$5</f>
        <v>-4.1800418559542647E-2</v>
      </c>
      <c r="F42" s="86">
        <f t="shared" ref="F42:H42" si="88">F41/F$5</f>
        <v>-4.1818115740491005E-2</v>
      </c>
      <c r="G42" s="86">
        <f t="shared" si="88"/>
        <v>-4.5413190836968084E-2</v>
      </c>
      <c r="H42" s="86">
        <f t="shared" si="88"/>
        <v>-4.3424706273923405E-2</v>
      </c>
      <c r="I42" s="86">
        <f t="shared" ref="I42:N42" si="89">I41/I$5</f>
        <v>-4.3282357465305746E-2</v>
      </c>
      <c r="J42" s="86">
        <f t="shared" si="89"/>
        <v>-4.3166569986840188E-2</v>
      </c>
      <c r="K42" s="86">
        <f t="shared" si="89"/>
        <v>-4.3149474526085058E-2</v>
      </c>
      <c r="L42" s="86">
        <f t="shared" si="89"/>
        <v>-4.3004769044471577E-2</v>
      </c>
      <c r="M42" s="86">
        <f t="shared" si="89"/>
        <v>-4.2980987510654219E-2</v>
      </c>
      <c r="N42" s="86">
        <f t="shared" si="89"/>
        <v>-4.2822925949891094E-2</v>
      </c>
      <c r="O42" s="86">
        <f t="shared" ref="O42:P42" si="90">O41/O$5</f>
        <v>-4.2739065614852884E-2</v>
      </c>
      <c r="P42" s="86">
        <f t="shared" si="90"/>
        <v>-4.2720166573312304E-2</v>
      </c>
    </row>
    <row r="43" spans="1:17" s="18" customFormat="1" ht="14.4" x14ac:dyDescent="0.3">
      <c r="A43" s="20"/>
      <c r="B43" s="55"/>
      <c r="C43" s="22" t="s">
        <v>52</v>
      </c>
      <c r="D43" s="60" t="s">
        <v>6</v>
      </c>
      <c r="E43" s="99">
        <f>Histórico!E25</f>
        <v>-2448000</v>
      </c>
      <c r="F43" s="99">
        <f>Histórico!F25</f>
        <v>-3144592</v>
      </c>
      <c r="G43" s="99">
        <f>Histórico!G25</f>
        <v>-3428891.7039999999</v>
      </c>
      <c r="H43" s="99">
        <f>Histórico!H25</f>
        <v>-3987875.5928759994</v>
      </c>
      <c r="I43" s="108">
        <f t="shared" ref="I43:N43" si="91">I44*I47</f>
        <v>-4553997.5397862401</v>
      </c>
      <c r="J43" s="108">
        <f t="shared" si="91"/>
        <v>-5159028.6415006975</v>
      </c>
      <c r="K43" s="108">
        <f t="shared" si="91"/>
        <v>-5805175.8352886541</v>
      </c>
      <c r="L43" s="108">
        <f t="shared" si="91"/>
        <v>-6403284.8607426379</v>
      </c>
      <c r="M43" s="108">
        <f t="shared" si="91"/>
        <v>-7039954.3268964775</v>
      </c>
      <c r="N43" s="108">
        <f t="shared" si="91"/>
        <v>-7519432.2972688861</v>
      </c>
      <c r="O43" s="108">
        <f t="shared" ref="O43" si="92">O44*O47</f>
        <v>-8026004.5783480536</v>
      </c>
      <c r="P43" s="108">
        <f t="shared" ref="P43" si="93">P44*P47</f>
        <v>-8561071.5502379239</v>
      </c>
    </row>
    <row r="44" spans="1:17" s="4" customFormat="1" ht="14.4" x14ac:dyDescent="0.3">
      <c r="A44" s="10"/>
      <c r="B44" s="40"/>
      <c r="C44" s="151" t="s">
        <v>53</v>
      </c>
      <c r="D44" s="17" t="s">
        <v>23</v>
      </c>
      <c r="E44" s="94">
        <f>Histórico!E26</f>
        <v>36</v>
      </c>
      <c r="F44" s="94">
        <f>Histórico!F26</f>
        <v>44</v>
      </c>
      <c r="G44" s="94">
        <f>Histórico!G26</f>
        <v>46</v>
      </c>
      <c r="H44" s="94">
        <f>Histórico!H26</f>
        <v>51</v>
      </c>
      <c r="I44" s="107">
        <f t="shared" ref="I44:N44" si="94">ROUND(I8/I45,0)</f>
        <v>56</v>
      </c>
      <c r="J44" s="107">
        <f t="shared" si="94"/>
        <v>61</v>
      </c>
      <c r="K44" s="107">
        <f t="shared" si="94"/>
        <v>66</v>
      </c>
      <c r="L44" s="107">
        <f t="shared" si="94"/>
        <v>70</v>
      </c>
      <c r="M44" s="107">
        <f t="shared" si="94"/>
        <v>74</v>
      </c>
      <c r="N44" s="107">
        <f t="shared" si="94"/>
        <v>76</v>
      </c>
      <c r="O44" s="107">
        <f t="shared" ref="O44" si="95">ROUND(O8/O45,0)</f>
        <v>78</v>
      </c>
      <c r="P44" s="107">
        <f t="shared" ref="P44" si="96">ROUND(P8/P45,0)</f>
        <v>80</v>
      </c>
    </row>
    <row r="45" spans="1:17" s="4" customFormat="1" ht="14.4" x14ac:dyDescent="0.3">
      <c r="A45" s="10"/>
      <c r="B45" s="40"/>
      <c r="C45" s="144" t="s">
        <v>102</v>
      </c>
      <c r="D45" s="17" t="s">
        <v>23</v>
      </c>
      <c r="E45" s="138">
        <f>E8/E44</f>
        <v>3376.3888888888887</v>
      </c>
      <c r="F45" s="138">
        <f>F8/F44</f>
        <v>3337.9545454545455</v>
      </c>
      <c r="G45" s="138">
        <f>G8/G44</f>
        <v>3355.8695652173915</v>
      </c>
      <c r="H45" s="138">
        <f>H8/H44</f>
        <v>3419.0196078431372</v>
      </c>
      <c r="I45" s="188">
        <f>ROUND(H45*(1+I46),0)</f>
        <v>3453</v>
      </c>
      <c r="J45" s="188">
        <f t="shared" ref="J45:P45" si="97">ROUND(I45*(1+J46),0)</f>
        <v>3488</v>
      </c>
      <c r="K45" s="188">
        <f t="shared" si="97"/>
        <v>3523</v>
      </c>
      <c r="L45" s="188">
        <f t="shared" si="97"/>
        <v>3558</v>
      </c>
      <c r="M45" s="188">
        <f t="shared" si="97"/>
        <v>3594</v>
      </c>
      <c r="N45" s="188">
        <f t="shared" si="97"/>
        <v>3630</v>
      </c>
      <c r="O45" s="188">
        <f t="shared" si="97"/>
        <v>3666</v>
      </c>
      <c r="P45" s="188">
        <f t="shared" si="97"/>
        <v>3703</v>
      </c>
      <c r="Q45" s="150"/>
    </row>
    <row r="46" spans="1:17" s="36" customFormat="1" ht="14.4" x14ac:dyDescent="0.3">
      <c r="A46" s="37"/>
      <c r="B46" s="146"/>
      <c r="C46" s="187" t="s">
        <v>137</v>
      </c>
      <c r="D46" s="147" t="s">
        <v>22</v>
      </c>
      <c r="E46" s="148"/>
      <c r="F46" s="139">
        <f>F45/E45-1</f>
        <v>-1.1383269137279717E-2</v>
      </c>
      <c r="G46" s="139">
        <f t="shared" ref="G46" si="98">G45/F45-1</f>
        <v>5.3670652247921335E-3</v>
      </c>
      <c r="H46" s="139">
        <f t="shared" ref="H46" si="99">H45/G45-1</f>
        <v>1.8817788176357375E-2</v>
      </c>
      <c r="I46" s="113">
        <v>0.01</v>
      </c>
      <c r="J46" s="113">
        <f t="shared" ref="J46:N46" si="100">I46</f>
        <v>0.01</v>
      </c>
      <c r="K46" s="113">
        <f t="shared" si="100"/>
        <v>0.01</v>
      </c>
      <c r="L46" s="113">
        <f t="shared" si="100"/>
        <v>0.01</v>
      </c>
      <c r="M46" s="113">
        <f t="shared" si="100"/>
        <v>0.01</v>
      </c>
      <c r="N46" s="113">
        <f t="shared" si="100"/>
        <v>0.01</v>
      </c>
      <c r="O46" s="113">
        <f t="shared" ref="O46" si="101">N46</f>
        <v>0.01</v>
      </c>
      <c r="P46" s="113">
        <f t="shared" ref="P46" si="102">O46</f>
        <v>0.01</v>
      </c>
    </row>
    <row r="47" spans="1:17" s="4" customFormat="1" ht="14.4" x14ac:dyDescent="0.3">
      <c r="A47" s="10"/>
      <c r="B47" s="40"/>
      <c r="C47" s="151" t="s">
        <v>103</v>
      </c>
      <c r="D47" s="17" t="s">
        <v>100</v>
      </c>
      <c r="E47" s="138">
        <f>E43/E44</f>
        <v>-68000</v>
      </c>
      <c r="F47" s="138">
        <f>F43/F44</f>
        <v>-71468</v>
      </c>
      <c r="G47" s="138">
        <f>G43/G44</f>
        <v>-74541.123999999996</v>
      </c>
      <c r="H47" s="138">
        <f>H43/H44</f>
        <v>-78193.639075999992</v>
      </c>
      <c r="I47" s="107">
        <f>H47*(1+I48)</f>
        <v>-81321.384639039999</v>
      </c>
      <c r="J47" s="107">
        <f t="shared" ref="J47:N47" si="103">I47*(1+J48)</f>
        <v>-84574.240024601604</v>
      </c>
      <c r="K47" s="107">
        <f t="shared" si="103"/>
        <v>-87957.209625585674</v>
      </c>
      <c r="L47" s="107">
        <f t="shared" si="103"/>
        <v>-91475.49801060911</v>
      </c>
      <c r="M47" s="107">
        <f t="shared" si="103"/>
        <v>-95134.517931033479</v>
      </c>
      <c r="N47" s="107">
        <f t="shared" si="103"/>
        <v>-98939.898648274815</v>
      </c>
      <c r="O47" s="107">
        <f t="shared" ref="O47" si="104">N47*(1+O48)</f>
        <v>-102897.49459420581</v>
      </c>
      <c r="P47" s="107">
        <f t="shared" ref="P47" si="105">O47*(1+P48)</f>
        <v>-107013.39437797405</v>
      </c>
    </row>
    <row r="48" spans="1:17" s="36" customFormat="1" ht="14.4" x14ac:dyDescent="0.3">
      <c r="A48" s="37"/>
      <c r="B48" s="146"/>
      <c r="C48" s="145" t="s">
        <v>99</v>
      </c>
      <c r="D48" s="147" t="s">
        <v>22</v>
      </c>
      <c r="E48" s="148"/>
      <c r="F48" s="139">
        <f>F47/E47-1</f>
        <v>5.0999999999999934E-2</v>
      </c>
      <c r="G48" s="139">
        <f t="shared" ref="G48" si="106">G47/F47-1</f>
        <v>4.2999999999999927E-2</v>
      </c>
      <c r="H48" s="139">
        <f t="shared" ref="H48" si="107">H47/G47-1</f>
        <v>4.8999999999999932E-2</v>
      </c>
      <c r="I48" s="113">
        <v>0.04</v>
      </c>
      <c r="J48" s="113">
        <f t="shared" ref="J48" si="108">I48</f>
        <v>0.04</v>
      </c>
      <c r="K48" s="113">
        <f t="shared" ref="K48" si="109">J48</f>
        <v>0.04</v>
      </c>
      <c r="L48" s="113">
        <f t="shared" ref="L48" si="110">K48</f>
        <v>0.04</v>
      </c>
      <c r="M48" s="113">
        <f t="shared" ref="M48" si="111">L48</f>
        <v>0.04</v>
      </c>
      <c r="N48" s="113">
        <f t="shared" ref="N48" si="112">M48</f>
        <v>0.04</v>
      </c>
      <c r="O48" s="113">
        <f t="shared" ref="O48" si="113">N48</f>
        <v>0.04</v>
      </c>
      <c r="P48" s="113">
        <f t="shared" ref="P48" si="114">O48</f>
        <v>0.04</v>
      </c>
    </row>
    <row r="49" spans="1:16" s="18" customFormat="1" ht="14.4" x14ac:dyDescent="0.3">
      <c r="A49" s="20"/>
      <c r="B49" s="55"/>
      <c r="C49" s="22" t="s">
        <v>58</v>
      </c>
      <c r="D49" s="60" t="s">
        <v>6</v>
      </c>
      <c r="E49" s="99">
        <f>Histórico!E27</f>
        <v>-4745919.75</v>
      </c>
      <c r="F49" s="99">
        <f>Histórico!F27</f>
        <v>-5650030.1520000007</v>
      </c>
      <c r="G49" s="99">
        <f>Histórico!G27</f>
        <v>-7413292.6030800017</v>
      </c>
      <c r="H49" s="99">
        <f>Histórico!H27</f>
        <v>-8373750.2830800023</v>
      </c>
      <c r="I49" s="108">
        <f>I$5*I50</f>
        <v>-9707576.2816032022</v>
      </c>
      <c r="J49" s="108">
        <f t="shared" ref="J49:P49" si="115">J$5*J50</f>
        <v>-11134710.35955533</v>
      </c>
      <c r="K49" s="108">
        <f t="shared" si="115"/>
        <v>-12552444.614917513</v>
      </c>
      <c r="L49" s="108">
        <f t="shared" si="115"/>
        <v>-14065782.074133379</v>
      </c>
      <c r="M49" s="108">
        <f t="shared" si="115"/>
        <v>-15504821.075101994</v>
      </c>
      <c r="N49" s="108">
        <f t="shared" si="115"/>
        <v>-16854185.1394848</v>
      </c>
      <c r="O49" s="108">
        <f t="shared" si="115"/>
        <v>-18160300.936925761</v>
      </c>
      <c r="P49" s="108">
        <f t="shared" si="115"/>
        <v>-19412494.036431611</v>
      </c>
    </row>
    <row r="50" spans="1:16" s="4" customFormat="1" ht="14.4" x14ac:dyDescent="0.3">
      <c r="A50" s="10"/>
      <c r="B50" s="40"/>
      <c r="C50" s="58" t="s">
        <v>49</v>
      </c>
      <c r="D50" s="51" t="s">
        <v>22</v>
      </c>
      <c r="E50" s="139">
        <f>E49/E$5</f>
        <v>-1.9E-2</v>
      </c>
      <c r="F50" s="139">
        <f t="shared" ref="F50:H50" si="116">F49/F$5</f>
        <v>-1.7999999999999999E-2</v>
      </c>
      <c r="G50" s="139">
        <f t="shared" si="116"/>
        <v>-2.1000000000000001E-2</v>
      </c>
      <c r="H50" s="139">
        <f t="shared" si="116"/>
        <v>-0.02</v>
      </c>
      <c r="I50" s="113">
        <f>H50</f>
        <v>-0.02</v>
      </c>
      <c r="J50" s="113">
        <f t="shared" ref="J50:N50" si="117">I50</f>
        <v>-0.02</v>
      </c>
      <c r="K50" s="113">
        <f t="shared" si="117"/>
        <v>-0.02</v>
      </c>
      <c r="L50" s="113">
        <f t="shared" si="117"/>
        <v>-0.02</v>
      </c>
      <c r="M50" s="113">
        <f t="shared" si="117"/>
        <v>-0.02</v>
      </c>
      <c r="N50" s="113">
        <f t="shared" si="117"/>
        <v>-0.02</v>
      </c>
      <c r="O50" s="113">
        <f t="shared" ref="O50" si="118">N50</f>
        <v>-0.02</v>
      </c>
      <c r="P50" s="113">
        <f t="shared" ref="P50" si="119">O50</f>
        <v>-0.02</v>
      </c>
    </row>
    <row r="51" spans="1:16" s="18" customFormat="1" ht="14.4" x14ac:dyDescent="0.3">
      <c r="A51" s="20"/>
      <c r="B51" s="55"/>
      <c r="C51" s="22" t="s">
        <v>59</v>
      </c>
      <c r="D51" s="60" t="s">
        <v>6</v>
      </c>
      <c r="E51" s="99">
        <f>Histórico!E28</f>
        <v>-2747637.75</v>
      </c>
      <c r="F51" s="99">
        <f>Histórico!F28</f>
        <v>-3766686.7680000006</v>
      </c>
      <c r="G51" s="99">
        <f>Histórico!G28</f>
        <v>-4659783.9219360007</v>
      </c>
      <c r="H51" s="99">
        <f>Histórico!H28</f>
        <v>-5233593.9269250017</v>
      </c>
      <c r="I51" s="108">
        <f>I$5*I52</f>
        <v>-6067235.1760020023</v>
      </c>
      <c r="J51" s="108">
        <f t="shared" ref="J51" si="120">J$5*J52</f>
        <v>-6959193.9747220818</v>
      </c>
      <c r="K51" s="108">
        <f t="shared" ref="K51" si="121">K$5*K52</f>
        <v>-7845277.8843234451</v>
      </c>
      <c r="L51" s="108">
        <f t="shared" ref="L51" si="122">L$5*L52</f>
        <v>-8791113.7963333633</v>
      </c>
      <c r="M51" s="108">
        <f t="shared" ref="M51" si="123">M$5*M52</f>
        <v>-9690513.1719387453</v>
      </c>
      <c r="N51" s="108">
        <f t="shared" ref="N51:P51" si="124">N$5*N52</f>
        <v>-10533865.712178001</v>
      </c>
      <c r="O51" s="108">
        <f t="shared" si="124"/>
        <v>-11350188.0855786</v>
      </c>
      <c r="P51" s="108">
        <f t="shared" si="124"/>
        <v>-12132808.772769757</v>
      </c>
    </row>
    <row r="52" spans="1:16" s="4" customFormat="1" ht="14.4" x14ac:dyDescent="0.3">
      <c r="A52" s="10"/>
      <c r="B52" s="40"/>
      <c r="C52" s="58" t="s">
        <v>49</v>
      </c>
      <c r="D52" s="51" t="s">
        <v>22</v>
      </c>
      <c r="E52" s="139">
        <f>E51/E$5</f>
        <v>-1.0999999999999999E-2</v>
      </c>
      <c r="F52" s="139">
        <f t="shared" ref="F52" si="125">F51/F$5</f>
        <v>-1.2E-2</v>
      </c>
      <c r="G52" s="139">
        <f t="shared" ref="G52" si="126">G51/G$5</f>
        <v>-1.3199999999999998E-2</v>
      </c>
      <c r="H52" s="139">
        <f t="shared" ref="H52" si="127">H51/H$5</f>
        <v>-1.2500000000000001E-2</v>
      </c>
      <c r="I52" s="113">
        <f>H52</f>
        <v>-1.2500000000000001E-2</v>
      </c>
      <c r="J52" s="113">
        <f t="shared" ref="J52" si="128">I52</f>
        <v>-1.2500000000000001E-2</v>
      </c>
      <c r="K52" s="113">
        <f t="shared" ref="K52" si="129">J52</f>
        <v>-1.2500000000000001E-2</v>
      </c>
      <c r="L52" s="113">
        <f t="shared" ref="L52" si="130">K52</f>
        <v>-1.2500000000000001E-2</v>
      </c>
      <c r="M52" s="113">
        <f t="shared" ref="M52" si="131">L52</f>
        <v>-1.2500000000000001E-2</v>
      </c>
      <c r="N52" s="113">
        <f t="shared" ref="N52" si="132">M52</f>
        <v>-1.2500000000000001E-2</v>
      </c>
      <c r="O52" s="113">
        <f t="shared" ref="O52" si="133">N52</f>
        <v>-1.2500000000000001E-2</v>
      </c>
      <c r="P52" s="113">
        <f t="shared" ref="P52" si="134">O52</f>
        <v>-1.2500000000000001E-2</v>
      </c>
    </row>
    <row r="53" spans="1:16" s="18" customFormat="1" ht="14.4" x14ac:dyDescent="0.3">
      <c r="A53" s="20"/>
      <c r="B53" s="55"/>
      <c r="C53" s="22" t="s">
        <v>27</v>
      </c>
      <c r="D53" s="60" t="s">
        <v>6</v>
      </c>
      <c r="E53" s="99">
        <f>Histórico!E29</f>
        <v>-499570.5</v>
      </c>
      <c r="F53" s="99">
        <f>Histórico!F29</f>
        <v>-565003.01520000014</v>
      </c>
      <c r="G53" s="99">
        <f>Histórico!G29</f>
        <v>-529520.90022000019</v>
      </c>
      <c r="H53" s="99">
        <f>Histórico!H29</f>
        <v>-586162.51981560013</v>
      </c>
      <c r="I53" s="108">
        <f>I$5*I54</f>
        <v>-679530.3397122242</v>
      </c>
      <c r="J53" s="108">
        <f t="shared" ref="J53" si="135">J$5*J54</f>
        <v>-779429.72516887309</v>
      </c>
      <c r="K53" s="108">
        <f t="shared" ref="K53" si="136">K$5*K54</f>
        <v>-878671.12304422585</v>
      </c>
      <c r="L53" s="108">
        <f t="shared" ref="L53" si="137">L$5*L54</f>
        <v>-984604.74518933659</v>
      </c>
      <c r="M53" s="108">
        <f t="shared" ref="M53" si="138">M$5*M54</f>
        <v>-1085337.4752571394</v>
      </c>
      <c r="N53" s="108">
        <f t="shared" ref="N53:P53" si="139">N$5*N54</f>
        <v>-1179792.959763936</v>
      </c>
      <c r="O53" s="108">
        <f t="shared" si="139"/>
        <v>-1271221.0655848032</v>
      </c>
      <c r="P53" s="108">
        <f t="shared" si="139"/>
        <v>-1358874.5825502127</v>
      </c>
    </row>
    <row r="54" spans="1:16" s="4" customFormat="1" ht="14.4" x14ac:dyDescent="0.3">
      <c r="A54" s="10"/>
      <c r="B54" s="40"/>
      <c r="C54" s="58" t="s">
        <v>49</v>
      </c>
      <c r="D54" s="51" t="s">
        <v>22</v>
      </c>
      <c r="E54" s="139">
        <f>E53/E$5</f>
        <v>-2E-3</v>
      </c>
      <c r="F54" s="139">
        <f t="shared" ref="F54" si="140">F53/F$5</f>
        <v>-1.8000000000000002E-3</v>
      </c>
      <c r="G54" s="139">
        <f t="shared" ref="G54" si="141">G53/G$5</f>
        <v>-1.5000000000000002E-3</v>
      </c>
      <c r="H54" s="139">
        <f t="shared" ref="H54" si="142">H53/H$5</f>
        <v>-1.4E-3</v>
      </c>
      <c r="I54" s="113">
        <f>H54</f>
        <v>-1.4E-3</v>
      </c>
      <c r="J54" s="113">
        <f t="shared" ref="J54" si="143">I54</f>
        <v>-1.4E-3</v>
      </c>
      <c r="K54" s="113">
        <f t="shared" ref="K54" si="144">J54</f>
        <v>-1.4E-3</v>
      </c>
      <c r="L54" s="113">
        <f t="shared" ref="L54" si="145">K54</f>
        <v>-1.4E-3</v>
      </c>
      <c r="M54" s="113">
        <f t="shared" ref="M54" si="146">L54</f>
        <v>-1.4E-3</v>
      </c>
      <c r="N54" s="113">
        <f t="shared" ref="N54" si="147">M54</f>
        <v>-1.4E-3</v>
      </c>
      <c r="O54" s="113">
        <f t="shared" ref="O54" si="148">N54</f>
        <v>-1.4E-3</v>
      </c>
      <c r="P54" s="113">
        <f t="shared" ref="P54" si="149">O54</f>
        <v>-1.4E-3</v>
      </c>
    </row>
    <row r="55" spans="1:16" s="4" customFormat="1" ht="14.4" x14ac:dyDescent="0.3">
      <c r="A55" s="10"/>
      <c r="B55" s="59"/>
      <c r="C55" s="14"/>
      <c r="D55" s="33"/>
      <c r="E55" s="44"/>
      <c r="F55" s="44"/>
      <c r="G55" s="44"/>
      <c r="H55" s="44"/>
      <c r="I55" s="74"/>
      <c r="J55" s="74"/>
      <c r="K55" s="74"/>
      <c r="L55" s="74"/>
      <c r="M55" s="74"/>
      <c r="N55" s="74"/>
      <c r="O55" s="74"/>
      <c r="P55" s="174"/>
    </row>
    <row r="56" spans="1:16" s="4" customFormat="1" ht="14.4" x14ac:dyDescent="0.3">
      <c r="A56" s="10"/>
      <c r="B56" s="40"/>
      <c r="C56" s="7" t="s">
        <v>60</v>
      </c>
      <c r="D56" s="16" t="s">
        <v>6</v>
      </c>
      <c r="E56" s="102">
        <f>SUM(E58,E68,E70,E63)</f>
        <v>-8836389.375</v>
      </c>
      <c r="F56" s="102">
        <f t="shared" ref="F56:P56" si="150">SUM(F58,F68,F70,F63)</f>
        <v>-9411322.060800001</v>
      </c>
      <c r="G56" s="102">
        <f t="shared" si="150"/>
        <v>-10070626.672512</v>
      </c>
      <c r="H56" s="102">
        <f t="shared" si="150"/>
        <v>-10891061.203131001</v>
      </c>
      <c r="I56" s="102">
        <f t="shared" si="150"/>
        <v>-11326703.651256243</v>
      </c>
      <c r="J56" s="102">
        <f t="shared" si="150"/>
        <v>-11779771.797306491</v>
      </c>
      <c r="K56" s="102">
        <f t="shared" si="150"/>
        <v>-12449057.085183801</v>
      </c>
      <c r="L56" s="102">
        <f t="shared" si="150"/>
        <v>-12947019.368591154</v>
      </c>
      <c r="M56" s="102">
        <f t="shared" si="150"/>
        <v>-13464900.1433348</v>
      </c>
      <c r="N56" s="102">
        <f t="shared" si="150"/>
        <v>-14226325.4262108</v>
      </c>
      <c r="O56" s="102">
        <f t="shared" si="150"/>
        <v>-14795378.443259232</v>
      </c>
      <c r="P56" s="102">
        <f t="shared" si="150"/>
        <v>-15628205.727147046</v>
      </c>
    </row>
    <row r="57" spans="1:16" s="4" customFormat="1" ht="14.4" x14ac:dyDescent="0.3">
      <c r="A57" s="10"/>
      <c r="B57" s="40"/>
      <c r="C57" s="39" t="s">
        <v>49</v>
      </c>
      <c r="D57" s="51" t="s">
        <v>22</v>
      </c>
      <c r="E57" s="86">
        <f>E56/E$5</f>
        <v>-3.5375945437130497E-2</v>
      </c>
      <c r="F57" s="86">
        <f t="shared" ref="F57:N59" si="151">F56/F$5</f>
        <v>-2.9982812929668059E-2</v>
      </c>
      <c r="G57" s="86">
        <f t="shared" si="151"/>
        <v>-2.8527561428627148E-2</v>
      </c>
      <c r="H57" s="86">
        <f t="shared" si="151"/>
        <v>-2.6012385932113302E-2</v>
      </c>
      <c r="I57" s="86">
        <f t="shared" si="151"/>
        <v>-2.333580148676543E-2</v>
      </c>
      <c r="J57" s="86">
        <f t="shared" si="151"/>
        <v>-2.1158649694372332E-2</v>
      </c>
      <c r="K57" s="86">
        <f t="shared" si="151"/>
        <v>-1.9835271083991329E-2</v>
      </c>
      <c r="L57" s="86">
        <f t="shared" si="151"/>
        <v>-1.8409242088856755E-2</v>
      </c>
      <c r="M57" s="86">
        <f t="shared" si="151"/>
        <v>-1.7368662402634304E-2</v>
      </c>
      <c r="N57" s="86">
        <f t="shared" si="151"/>
        <v>-1.688165320182981E-2</v>
      </c>
      <c r="O57" s="86">
        <f t="shared" ref="O57:P57" si="152">O56/O$5</f>
        <v>-1.6294199633195998E-2</v>
      </c>
      <c r="P57" s="86">
        <f t="shared" si="152"/>
        <v>-1.6101182772102797E-2</v>
      </c>
    </row>
    <row r="58" spans="1:16" s="18" customFormat="1" ht="14.4" x14ac:dyDescent="0.3">
      <c r="A58" s="20"/>
      <c r="B58" s="55"/>
      <c r="C58" s="22" t="s">
        <v>52</v>
      </c>
      <c r="D58" s="60" t="s">
        <v>6</v>
      </c>
      <c r="E58" s="99">
        <f>Histórico!E32</f>
        <v>-4743000</v>
      </c>
      <c r="F58" s="99">
        <f>Histórico!F32</f>
        <v>-4824090</v>
      </c>
      <c r="G58" s="99">
        <f>Histórico!G32</f>
        <v>-5211705.6315000001</v>
      </c>
      <c r="H58" s="99">
        <f>Histórico!H32</f>
        <v>-5635366.8634800008</v>
      </c>
      <c r="I58" s="108">
        <f>I60*I61</f>
        <v>-5860781.5380192008</v>
      </c>
      <c r="J58" s="108">
        <f t="shared" ref="J58:N58" si="153">J60*J61</f>
        <v>-6095212.7995399693</v>
      </c>
      <c r="K58" s="108">
        <f t="shared" si="153"/>
        <v>-6537115.7275066171</v>
      </c>
      <c r="L58" s="108">
        <f t="shared" si="153"/>
        <v>-6798600.3566068821</v>
      </c>
      <c r="M58" s="108">
        <f t="shared" si="153"/>
        <v>-7070544.3708711583</v>
      </c>
      <c r="N58" s="108">
        <f t="shared" si="153"/>
        <v>-7576195.4228486111</v>
      </c>
      <c r="O58" s="108">
        <f t="shared" ref="O58:P58" si="154">O60*O61</f>
        <v>-7879243.2397625558</v>
      </c>
      <c r="P58" s="108">
        <f t="shared" si="154"/>
        <v>-8435425.1155105028</v>
      </c>
    </row>
    <row r="59" spans="1:16" s="4" customFormat="1" ht="14.4" x14ac:dyDescent="0.3">
      <c r="A59" s="10"/>
      <c r="B59" s="40"/>
      <c r="C59" s="39" t="s">
        <v>49</v>
      </c>
      <c r="D59" s="51" t="s">
        <v>22</v>
      </c>
      <c r="E59" s="86">
        <f>E58/E$5</f>
        <v>-1.898831095911388E-2</v>
      </c>
      <c r="F59" s="86">
        <f t="shared" si="151"/>
        <v>-1.5368700283707792E-2</v>
      </c>
      <c r="G59" s="86">
        <f t="shared" si="151"/>
        <v>-1.4763455878704765E-2</v>
      </c>
      <c r="H59" s="86">
        <f t="shared" si="151"/>
        <v>-1.3459600950524694E-2</v>
      </c>
      <c r="I59" s="86">
        <f t="shared" si="151"/>
        <v>-1.2074654616159853E-2</v>
      </c>
      <c r="J59" s="86">
        <f t="shared" si="151"/>
        <v>-1.0948129951686295E-2</v>
      </c>
      <c r="K59" s="86">
        <f t="shared" si="151"/>
        <v>-1.0415685435071048E-2</v>
      </c>
      <c r="L59" s="86">
        <f t="shared" si="151"/>
        <v>-9.666864338968165E-3</v>
      </c>
      <c r="M59" s="86">
        <f t="shared" si="151"/>
        <v>-9.1204462620019591E-3</v>
      </c>
      <c r="N59" s="86">
        <f t="shared" si="151"/>
        <v>-8.9902838495580922E-3</v>
      </c>
      <c r="O59" s="86">
        <f t="shared" ref="O59:P59" si="155">O58/O$5</f>
        <v>-8.6774368631100246E-3</v>
      </c>
      <c r="P59" s="86">
        <f t="shared" si="155"/>
        <v>-8.6907175344699775E-3</v>
      </c>
    </row>
    <row r="60" spans="1:16" s="4" customFormat="1" ht="14.4" x14ac:dyDescent="0.3">
      <c r="A60" s="10"/>
      <c r="B60" s="40"/>
      <c r="C60" s="151" t="s">
        <v>53</v>
      </c>
      <c r="D60" s="17" t="s">
        <v>23</v>
      </c>
      <c r="E60" s="94">
        <f>Histórico!E33</f>
        <v>31</v>
      </c>
      <c r="F60" s="94">
        <f>Histórico!F33</f>
        <v>30</v>
      </c>
      <c r="G60" s="94">
        <f>Histórico!G33</f>
        <v>31</v>
      </c>
      <c r="H60" s="94">
        <f>Histórico!H33</f>
        <v>32</v>
      </c>
      <c r="I60" s="153">
        <v>32</v>
      </c>
      <c r="J60" s="153">
        <v>32</v>
      </c>
      <c r="K60" s="153">
        <v>33</v>
      </c>
      <c r="L60" s="153">
        <v>33</v>
      </c>
      <c r="M60" s="153">
        <v>33</v>
      </c>
      <c r="N60" s="153">
        <v>34</v>
      </c>
      <c r="O60" s="153">
        <v>34</v>
      </c>
      <c r="P60" s="153">
        <v>35</v>
      </c>
    </row>
    <row r="61" spans="1:16" s="4" customFormat="1" ht="14.4" x14ac:dyDescent="0.3">
      <c r="A61" s="10"/>
      <c r="B61" s="40"/>
      <c r="C61" s="151" t="s">
        <v>103</v>
      </c>
      <c r="D61" s="17" t="s">
        <v>100</v>
      </c>
      <c r="E61" s="138">
        <f>E58/E60</f>
        <v>-153000</v>
      </c>
      <c r="F61" s="138">
        <f>F58/F60</f>
        <v>-160803</v>
      </c>
      <c r="G61" s="138">
        <f>G58/G60</f>
        <v>-168119.53650000002</v>
      </c>
      <c r="H61" s="138">
        <f>H58/H60</f>
        <v>-176105.21448375002</v>
      </c>
      <c r="I61" s="107">
        <f>H61*(1+I62)</f>
        <v>-183149.42306310002</v>
      </c>
      <c r="J61" s="107">
        <f t="shared" ref="J61:N61" si="156">I61*(1+J62)</f>
        <v>-190475.39998562404</v>
      </c>
      <c r="K61" s="107">
        <f t="shared" si="156"/>
        <v>-198094.41598504901</v>
      </c>
      <c r="L61" s="107">
        <f t="shared" si="156"/>
        <v>-206018.19262445098</v>
      </c>
      <c r="M61" s="107">
        <f t="shared" si="156"/>
        <v>-214258.92032942903</v>
      </c>
      <c r="N61" s="107">
        <f t="shared" si="156"/>
        <v>-222829.27714260621</v>
      </c>
      <c r="O61" s="107">
        <f t="shared" ref="O61" si="157">N61*(1+O62)</f>
        <v>-231742.44822831047</v>
      </c>
      <c r="P61" s="107">
        <f t="shared" ref="P61" si="158">O61*(1+P62)</f>
        <v>-241012.14615744291</v>
      </c>
    </row>
    <row r="62" spans="1:16" s="36" customFormat="1" ht="14.4" x14ac:dyDescent="0.3">
      <c r="A62" s="37"/>
      <c r="B62" s="146"/>
      <c r="C62" s="145" t="s">
        <v>99</v>
      </c>
      <c r="D62" s="147" t="s">
        <v>22</v>
      </c>
      <c r="E62" s="148"/>
      <c r="F62" s="139">
        <f>F61/E61-1</f>
        <v>5.0999999999999934E-2</v>
      </c>
      <c r="G62" s="139">
        <f t="shared" ref="G62" si="159">G61/F61-1</f>
        <v>4.5500000000000096E-2</v>
      </c>
      <c r="H62" s="139">
        <f t="shared" ref="H62" si="160">H61/G61-1</f>
        <v>4.7500000000000098E-2</v>
      </c>
      <c r="I62" s="113">
        <v>0.04</v>
      </c>
      <c r="J62" s="113">
        <f>I62</f>
        <v>0.04</v>
      </c>
      <c r="K62" s="113">
        <f t="shared" ref="K62:N62" si="161">J62</f>
        <v>0.04</v>
      </c>
      <c r="L62" s="113">
        <f t="shared" si="161"/>
        <v>0.04</v>
      </c>
      <c r="M62" s="113">
        <f t="shared" si="161"/>
        <v>0.04</v>
      </c>
      <c r="N62" s="113">
        <f t="shared" si="161"/>
        <v>0.04</v>
      </c>
      <c r="O62" s="113">
        <f t="shared" ref="O62" si="162">N62</f>
        <v>0.04</v>
      </c>
      <c r="P62" s="113">
        <f t="shared" ref="P62" si="163">O62</f>
        <v>0.04</v>
      </c>
    </row>
    <row r="63" spans="1:16" s="18" customFormat="1" ht="14.4" x14ac:dyDescent="0.3">
      <c r="A63" s="20"/>
      <c r="B63" s="55"/>
      <c r="C63" s="22" t="s">
        <v>139</v>
      </c>
      <c r="D63" s="60" t="s">
        <v>6</v>
      </c>
      <c r="E63" s="99">
        <f>Histórico!E34</f>
        <v>-1680000</v>
      </c>
      <c r="F63" s="99">
        <f>Histórico!F34</f>
        <v>-1764000</v>
      </c>
      <c r="G63" s="99">
        <f>Histórico!G34</f>
        <v>-1834560</v>
      </c>
      <c r="H63" s="99">
        <f>Histórico!H34</f>
        <v>-1917115.2</v>
      </c>
      <c r="I63" s="108">
        <f>I65*I66</f>
        <v>-1993799.808</v>
      </c>
      <c r="J63" s="108">
        <f t="shared" ref="J63:P63" si="164">J65*J66</f>
        <v>-2073551.8003199999</v>
      </c>
      <c r="K63" s="108">
        <f t="shared" si="164"/>
        <v>-2156493.8723328002</v>
      </c>
      <c r="L63" s="108">
        <f t="shared" si="164"/>
        <v>-2242753.6272261124</v>
      </c>
      <c r="M63" s="108">
        <f t="shared" si="164"/>
        <v>-2332463.7723151571</v>
      </c>
      <c r="N63" s="108">
        <f t="shared" si="164"/>
        <v>-2425762.3232077635</v>
      </c>
      <c r="O63" s="108">
        <f t="shared" si="164"/>
        <v>-2522792.8161360743</v>
      </c>
      <c r="P63" s="108">
        <f t="shared" si="164"/>
        <v>-2623704.5287815174</v>
      </c>
    </row>
    <row r="64" spans="1:16" s="4" customFormat="1" ht="14.4" x14ac:dyDescent="0.3">
      <c r="A64" s="10"/>
      <c r="B64" s="40"/>
      <c r="C64" s="39" t="s">
        <v>49</v>
      </c>
      <c r="D64" s="51" t="s">
        <v>22</v>
      </c>
      <c r="E64" s="86">
        <f>E63/E$5</f>
        <v>-6.7257774428233852E-3</v>
      </c>
      <c r="F64" s="86">
        <f t="shared" ref="F64:P64" si="165">F63/F$5</f>
        <v>-5.6197930180532591E-3</v>
      </c>
      <c r="G64" s="86">
        <f t="shared" si="165"/>
        <v>-5.1968486963530477E-3</v>
      </c>
      <c r="H64" s="86">
        <f t="shared" si="165"/>
        <v>-4.5788688107256375E-3</v>
      </c>
      <c r="I64" s="86">
        <f t="shared" si="165"/>
        <v>-4.1077190642909364E-3</v>
      </c>
      <c r="J64" s="86">
        <f t="shared" si="165"/>
        <v>-3.7244826912638403E-3</v>
      </c>
      <c r="K64" s="86">
        <f t="shared" si="165"/>
        <v>-3.4359743276938912E-3</v>
      </c>
      <c r="L64" s="86">
        <f t="shared" si="165"/>
        <v>-3.1889497724417047E-3</v>
      </c>
      <c r="M64" s="86">
        <f t="shared" si="165"/>
        <v>-3.0086948582214628E-3</v>
      </c>
      <c r="N64" s="86">
        <f t="shared" si="165"/>
        <v>-2.8785281556268868E-3</v>
      </c>
      <c r="O64" s="86">
        <f t="shared" si="165"/>
        <v>-2.7783601438084336E-3</v>
      </c>
      <c r="P64" s="86">
        <f t="shared" si="165"/>
        <v>-2.703109166557977E-3</v>
      </c>
    </row>
    <row r="65" spans="1:16" s="4" customFormat="1" ht="14.4" x14ac:dyDescent="0.3">
      <c r="A65" s="10"/>
      <c r="B65" s="40"/>
      <c r="C65" s="151" t="s">
        <v>53</v>
      </c>
      <c r="D65" s="17" t="s">
        <v>23</v>
      </c>
      <c r="E65" s="94">
        <f>Histórico!E35</f>
        <v>4</v>
      </c>
      <c r="F65" s="94">
        <f>Histórico!F35</f>
        <v>4</v>
      </c>
      <c r="G65" s="94">
        <f>Histórico!G35</f>
        <v>4</v>
      </c>
      <c r="H65" s="94">
        <f>Histórico!H35</f>
        <v>4</v>
      </c>
      <c r="I65" s="153">
        <f>H65</f>
        <v>4</v>
      </c>
      <c r="J65" s="153">
        <f t="shared" ref="J65:P65" si="166">I65</f>
        <v>4</v>
      </c>
      <c r="K65" s="153">
        <f t="shared" si="166"/>
        <v>4</v>
      </c>
      <c r="L65" s="153">
        <f t="shared" si="166"/>
        <v>4</v>
      </c>
      <c r="M65" s="153">
        <f t="shared" si="166"/>
        <v>4</v>
      </c>
      <c r="N65" s="153">
        <f t="shared" si="166"/>
        <v>4</v>
      </c>
      <c r="O65" s="153">
        <f t="shared" si="166"/>
        <v>4</v>
      </c>
      <c r="P65" s="153">
        <f t="shared" si="166"/>
        <v>4</v>
      </c>
    </row>
    <row r="66" spans="1:16" s="4" customFormat="1" ht="14.4" x14ac:dyDescent="0.3">
      <c r="A66" s="10"/>
      <c r="B66" s="40"/>
      <c r="C66" s="151" t="s">
        <v>103</v>
      </c>
      <c r="D66" s="17" t="s">
        <v>100</v>
      </c>
      <c r="E66" s="138">
        <f>E63/E65</f>
        <v>-420000</v>
      </c>
      <c r="F66" s="138">
        <f>F63/F65</f>
        <v>-441000</v>
      </c>
      <c r="G66" s="138">
        <f>G63/G65</f>
        <v>-458640</v>
      </c>
      <c r="H66" s="138">
        <f>H63/H65</f>
        <v>-479278.8</v>
      </c>
      <c r="I66" s="107">
        <f>H66*(1+I67)</f>
        <v>-498449.95199999999</v>
      </c>
      <c r="J66" s="107">
        <f t="shared" ref="J66" si="167">I66*(1+J67)</f>
        <v>-518387.95007999998</v>
      </c>
      <c r="K66" s="107">
        <f t="shared" ref="K66" si="168">J66*(1+K67)</f>
        <v>-539123.46808320004</v>
      </c>
      <c r="L66" s="107">
        <f t="shared" ref="L66" si="169">K66*(1+L67)</f>
        <v>-560688.4068065281</v>
      </c>
      <c r="M66" s="107">
        <f t="shared" ref="M66" si="170">L66*(1+M67)</f>
        <v>-583115.94307878928</v>
      </c>
      <c r="N66" s="107">
        <f t="shared" ref="N66" si="171">M66*(1+N67)</f>
        <v>-606440.58080194087</v>
      </c>
      <c r="O66" s="107">
        <f t="shared" ref="O66" si="172">N66*(1+O67)</f>
        <v>-630698.20403401856</v>
      </c>
      <c r="P66" s="107">
        <f t="shared" ref="P66" si="173">O66*(1+P67)</f>
        <v>-655926.13219537935</v>
      </c>
    </row>
    <row r="67" spans="1:16" s="36" customFormat="1" ht="14.4" x14ac:dyDescent="0.3">
      <c r="A67" s="37"/>
      <c r="B67" s="146"/>
      <c r="C67" s="145" t="s">
        <v>99</v>
      </c>
      <c r="D67" s="147" t="s">
        <v>22</v>
      </c>
      <c r="E67" s="148"/>
      <c r="F67" s="139">
        <f>F66/E66-1</f>
        <v>5.0000000000000044E-2</v>
      </c>
      <c r="G67" s="139">
        <f t="shared" ref="G67" si="174">G66/F66-1</f>
        <v>4.0000000000000036E-2</v>
      </c>
      <c r="H67" s="139">
        <f t="shared" ref="H67" si="175">H66/G66-1</f>
        <v>4.4999999999999929E-2</v>
      </c>
      <c r="I67" s="113">
        <v>0.04</v>
      </c>
      <c r="J67" s="113">
        <f>I67</f>
        <v>0.04</v>
      </c>
      <c r="K67" s="113">
        <f t="shared" ref="K67" si="176">J67</f>
        <v>0.04</v>
      </c>
      <c r="L67" s="113">
        <f t="shared" ref="L67" si="177">K67</f>
        <v>0.04</v>
      </c>
      <c r="M67" s="113">
        <f t="shared" ref="M67" si="178">L67</f>
        <v>0.04</v>
      </c>
      <c r="N67" s="113">
        <f t="shared" ref="N67" si="179">M67</f>
        <v>0.04</v>
      </c>
      <c r="O67" s="113">
        <f t="shared" ref="O67" si="180">N67</f>
        <v>0.04</v>
      </c>
      <c r="P67" s="113">
        <f t="shared" ref="P67" si="181">O67</f>
        <v>0.04</v>
      </c>
    </row>
    <row r="68" spans="1:16" s="18" customFormat="1" ht="14.4" x14ac:dyDescent="0.3">
      <c r="A68" s="20"/>
      <c r="B68" s="55"/>
      <c r="C68" s="22" t="s">
        <v>61</v>
      </c>
      <c r="D68" s="60" t="s">
        <v>6</v>
      </c>
      <c r="E68" s="99">
        <f>Histórico!E36</f>
        <v>-540000</v>
      </c>
      <c r="F68" s="99">
        <f>Histórico!F36</f>
        <v>-563220</v>
      </c>
      <c r="G68" s="99">
        <f>Histórico!G36</f>
        <v>-588564.89999999991</v>
      </c>
      <c r="H68" s="99">
        <f>Histórico!H36</f>
        <v>-617110.29764999985</v>
      </c>
      <c r="I68" s="108">
        <f>H68*(1+I69)</f>
        <v>-641794.70955599984</v>
      </c>
      <c r="J68" s="108">
        <f t="shared" ref="J68" si="182">I68*(1+J69)</f>
        <v>-667466.49793823983</v>
      </c>
      <c r="K68" s="108">
        <f t="shared" ref="K68" si="183">J68*(1+K69)</f>
        <v>-694165.1578557695</v>
      </c>
      <c r="L68" s="108">
        <f t="shared" ref="L68" si="184">K68*(1+L69)</f>
        <v>-721931.76417000033</v>
      </c>
      <c r="M68" s="108">
        <f t="shared" ref="M68" si="185">L68*(1+M69)</f>
        <v>-750809.03473680036</v>
      </c>
      <c r="N68" s="108">
        <f t="shared" ref="N68" si="186">M68*(1+N69)</f>
        <v>-780841.39612627239</v>
      </c>
      <c r="O68" s="108">
        <f t="shared" ref="O68" si="187">N68*(1+O69)</f>
        <v>-812075.05197132332</v>
      </c>
      <c r="P68" s="108">
        <f t="shared" ref="P68" si="188">O68*(1+P69)</f>
        <v>-844558.05405017629</v>
      </c>
    </row>
    <row r="69" spans="1:16" s="4" customFormat="1" ht="14.4" x14ac:dyDescent="0.3">
      <c r="A69" s="10"/>
      <c r="B69" s="40"/>
      <c r="C69" s="58" t="s">
        <v>48</v>
      </c>
      <c r="D69" s="51" t="s">
        <v>22</v>
      </c>
      <c r="E69" s="148"/>
      <c r="F69" s="139">
        <f>F68/E68-1</f>
        <v>4.2999999999999927E-2</v>
      </c>
      <c r="G69" s="139">
        <f t="shared" ref="G69" si="189">G68/F68-1</f>
        <v>4.4999999999999929E-2</v>
      </c>
      <c r="H69" s="139">
        <f t="shared" ref="H69" si="190">H68/G68-1</f>
        <v>4.8499999999999988E-2</v>
      </c>
      <c r="I69" s="113">
        <v>0.04</v>
      </c>
      <c r="J69" s="113">
        <f>I69</f>
        <v>0.04</v>
      </c>
      <c r="K69" s="113">
        <f t="shared" ref="K69:N71" si="191">J69</f>
        <v>0.04</v>
      </c>
      <c r="L69" s="113">
        <f t="shared" si="191"/>
        <v>0.04</v>
      </c>
      <c r="M69" s="113">
        <f t="shared" si="191"/>
        <v>0.04</v>
      </c>
      <c r="N69" s="113">
        <f t="shared" si="191"/>
        <v>0.04</v>
      </c>
      <c r="O69" s="113">
        <f t="shared" ref="O69" si="192">N69</f>
        <v>0.04</v>
      </c>
      <c r="P69" s="113">
        <f t="shared" ref="P69" si="193">O69</f>
        <v>0.04</v>
      </c>
    </row>
    <row r="70" spans="1:16" s="18" customFormat="1" ht="14.4" x14ac:dyDescent="0.3">
      <c r="A70" s="20"/>
      <c r="B70" s="55"/>
      <c r="C70" s="22" t="s">
        <v>104</v>
      </c>
      <c r="D70" s="60" t="s">
        <v>6</v>
      </c>
      <c r="E70" s="99">
        <f>Histórico!E37</f>
        <v>-1873389.375</v>
      </c>
      <c r="F70" s="99">
        <f>Histórico!F37</f>
        <v>-2260012.0608000006</v>
      </c>
      <c r="G70" s="99">
        <f>Histórico!G37</f>
        <v>-2435796.1410120004</v>
      </c>
      <c r="H70" s="99">
        <f>Histórico!H37</f>
        <v>-2721468.8420010004</v>
      </c>
      <c r="I70" s="108">
        <f>H70*(1+I71)</f>
        <v>-2830327.5956810405</v>
      </c>
      <c r="J70" s="108">
        <f t="shared" ref="J70:N70" si="194">I70*(1+J71)</f>
        <v>-2943540.6995082824</v>
      </c>
      <c r="K70" s="108">
        <f t="shared" si="194"/>
        <v>-3061282.3274886138</v>
      </c>
      <c r="L70" s="108">
        <f t="shared" si="194"/>
        <v>-3183733.6205881583</v>
      </c>
      <c r="M70" s="108">
        <f t="shared" si="194"/>
        <v>-3311082.9654116845</v>
      </c>
      <c r="N70" s="108">
        <f t="shared" si="194"/>
        <v>-3443526.284028152</v>
      </c>
      <c r="O70" s="108">
        <f t="shared" ref="O70" si="195">N70*(1+O71)</f>
        <v>-3581267.3353892784</v>
      </c>
      <c r="P70" s="108">
        <f t="shared" ref="P70" si="196">O70*(1+P71)</f>
        <v>-3724518.0288048498</v>
      </c>
    </row>
    <row r="71" spans="1:16" s="4" customFormat="1" ht="14.4" x14ac:dyDescent="0.3">
      <c r="A71" s="10"/>
      <c r="B71" s="40"/>
      <c r="C71" s="58" t="s">
        <v>48</v>
      </c>
      <c r="D71" s="51" t="s">
        <v>22</v>
      </c>
      <c r="E71" s="148"/>
      <c r="F71" s="139">
        <f>F70/E70-1</f>
        <v>0.20637604278074906</v>
      </c>
      <c r="G71" s="139">
        <f t="shared" ref="G71" si="197">G70/F70-1</f>
        <v>7.7780151381039886E-2</v>
      </c>
      <c r="H71" s="139">
        <f t="shared" ref="H71" si="198">H70/G70-1</f>
        <v>0.11728103849869465</v>
      </c>
      <c r="I71" s="113">
        <v>0.04</v>
      </c>
      <c r="J71" s="113">
        <f>I71</f>
        <v>0.04</v>
      </c>
      <c r="K71" s="113">
        <f t="shared" si="191"/>
        <v>0.04</v>
      </c>
      <c r="L71" s="113">
        <f t="shared" si="191"/>
        <v>0.04</v>
      </c>
      <c r="M71" s="113">
        <f t="shared" si="191"/>
        <v>0.04</v>
      </c>
      <c r="N71" s="113">
        <f t="shared" si="191"/>
        <v>0.04</v>
      </c>
      <c r="O71" s="113">
        <f t="shared" ref="O71" si="199">N71</f>
        <v>0.04</v>
      </c>
      <c r="P71" s="113">
        <f t="shared" ref="P71" si="200">O71</f>
        <v>0.04</v>
      </c>
    </row>
    <row r="72" spans="1:16" s="4" customFormat="1" ht="14.4" x14ac:dyDescent="0.3">
      <c r="A72" s="10"/>
      <c r="B72" s="59"/>
      <c r="C72" s="14"/>
      <c r="D72" s="33"/>
      <c r="E72" s="44"/>
      <c r="F72" s="44"/>
      <c r="G72" s="44"/>
      <c r="H72" s="44"/>
      <c r="I72" s="74"/>
      <c r="J72" s="74"/>
      <c r="K72" s="74"/>
      <c r="L72" s="74"/>
      <c r="M72" s="74"/>
      <c r="N72" s="74"/>
      <c r="O72" s="74"/>
      <c r="P72" s="74"/>
    </row>
    <row r="73" spans="1:16" s="4" customFormat="1" ht="15" thickBot="1" x14ac:dyDescent="0.35">
      <c r="A73" s="10"/>
      <c r="B73" s="40"/>
      <c r="C73" s="53" t="s">
        <v>1</v>
      </c>
      <c r="D73" s="52" t="s">
        <v>6</v>
      </c>
      <c r="E73" s="100">
        <f t="shared" ref="E73:P73" si="201">E35+E38</f>
        <v>21145886.775000036</v>
      </c>
      <c r="F73" s="100">
        <f t="shared" si="201"/>
        <v>33438622.383200008</v>
      </c>
      <c r="G73" s="100">
        <f t="shared" si="201"/>
        <v>34674281.833504058</v>
      </c>
      <c r="H73" s="100">
        <f t="shared" si="201"/>
        <v>42896067.386561409</v>
      </c>
      <c r="I73" s="100">
        <f t="shared" si="201"/>
        <v>51179598.306284681</v>
      </c>
      <c r="J73" s="100">
        <f t="shared" si="201"/>
        <v>60057177.991767339</v>
      </c>
      <c r="K73" s="100">
        <f t="shared" si="201"/>
        <v>68673540.25360769</v>
      </c>
      <c r="L73" s="100">
        <f t="shared" si="201"/>
        <v>78133889.668342799</v>
      </c>
      <c r="M73" s="100">
        <f t="shared" si="201"/>
        <v>87070800.834900782</v>
      </c>
      <c r="N73" s="100">
        <f t="shared" si="201"/>
        <v>95355497.113039285</v>
      </c>
      <c r="O73" s="100">
        <f t="shared" si="201"/>
        <v>103481392.52105165</v>
      </c>
      <c r="P73" s="100">
        <f t="shared" si="201"/>
        <v>110803891.62929353</v>
      </c>
    </row>
    <row r="74" spans="1:16" s="4" customFormat="1" ht="14.4" x14ac:dyDescent="0.3">
      <c r="A74" s="10"/>
      <c r="B74" s="40"/>
      <c r="C74" s="39" t="s">
        <v>39</v>
      </c>
      <c r="D74" s="51" t="s">
        <v>22</v>
      </c>
      <c r="E74" s="86">
        <f>E73/E$20</f>
        <v>0.11148762093925794</v>
      </c>
      <c r="F74" s="86">
        <f t="shared" ref="F74:N74" si="202">F73/F$20</f>
        <v>0.14065164496576099</v>
      </c>
      <c r="G74" s="86">
        <f t="shared" si="202"/>
        <v>0.12863220304903986</v>
      </c>
      <c r="H74" s="86">
        <f t="shared" si="202"/>
        <v>0.13486659676100213</v>
      </c>
      <c r="I74" s="86">
        <f t="shared" si="202"/>
        <v>0.13880112502583455</v>
      </c>
      <c r="J74" s="86">
        <f t="shared" si="202"/>
        <v>0.14200149678279142</v>
      </c>
      <c r="K74" s="86">
        <f t="shared" si="202"/>
        <v>0.14403500368883504</v>
      </c>
      <c r="L74" s="86">
        <f t="shared" si="202"/>
        <v>0.14624549125706493</v>
      </c>
      <c r="M74" s="86">
        <f t="shared" si="202"/>
        <v>0.14784706422939478</v>
      </c>
      <c r="N74" s="86">
        <f t="shared" si="202"/>
        <v>0.14895150633019405</v>
      </c>
      <c r="O74" s="86">
        <f t="shared" ref="O74:P74" si="203">O73/O$20</f>
        <v>0.15001895933016188</v>
      </c>
      <c r="P74" s="86">
        <f t="shared" si="203"/>
        <v>0.15027287790138844</v>
      </c>
    </row>
    <row r="75" spans="1:16" s="4" customFormat="1" ht="14.4" x14ac:dyDescent="0.3">
      <c r="A75" s="10"/>
      <c r="B75" s="40"/>
      <c r="C75" s="39"/>
      <c r="D75" s="92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 spans="1:16" s="18" customFormat="1" ht="14.4" x14ac:dyDescent="0.3">
      <c r="A76" s="20"/>
      <c r="B76" s="55"/>
      <c r="C76" s="49" t="s">
        <v>21</v>
      </c>
      <c r="D76" s="21" t="s">
        <v>6</v>
      </c>
      <c r="E76" s="99">
        <f>Histórico!E41</f>
        <v>-4242317.1459139902</v>
      </c>
      <c r="F76" s="99">
        <f>Histórico!F41</f>
        <v>-4534028.0673200004</v>
      </c>
      <c r="G76" s="99">
        <f>Histórico!G41</f>
        <v>-4946712.8342455998</v>
      </c>
      <c r="H76" s="99">
        <f>Histórico!H41</f>
        <v>-5525365.6898205504</v>
      </c>
      <c r="I76" s="108">
        <f>-I157</f>
        <v>-6226017.0942020239</v>
      </c>
      <c r="J76" s="108">
        <f t="shared" ref="J76:N76" si="204">-J157</f>
        <v>-7033655.7015469177</v>
      </c>
      <c r="K76" s="108">
        <f t="shared" si="204"/>
        <v>-7873196.9746966809</v>
      </c>
      <c r="L76" s="108">
        <f t="shared" si="204"/>
        <v>-8777166.9848337024</v>
      </c>
      <c r="M76" s="108">
        <f t="shared" si="204"/>
        <v>-6350506.5747667002</v>
      </c>
      <c r="N76" s="108">
        <f t="shared" si="204"/>
        <v>-5498936.5735810595</v>
      </c>
      <c r="O76" s="108">
        <f t="shared" ref="O76:P76" si="205">-O157</f>
        <v>-6782799.9057979137</v>
      </c>
      <c r="P76" s="108">
        <f t="shared" si="205"/>
        <v>-8155840.6686048564</v>
      </c>
    </row>
    <row r="77" spans="1:16" s="4" customFormat="1" ht="14.4" x14ac:dyDescent="0.3">
      <c r="A77" s="10"/>
      <c r="B77" s="40"/>
      <c r="C77" s="27"/>
      <c r="D77" s="27"/>
      <c r="E77" s="44"/>
      <c r="F77" s="44"/>
      <c r="G77" s="44"/>
      <c r="H77" s="44"/>
      <c r="I77" s="74"/>
      <c r="J77" s="74"/>
      <c r="K77" s="74"/>
      <c r="L77" s="74"/>
      <c r="M77" s="74"/>
      <c r="N77" s="74"/>
      <c r="O77" s="74"/>
      <c r="P77" s="74"/>
    </row>
    <row r="78" spans="1:16" s="4" customFormat="1" ht="15" thickBot="1" x14ac:dyDescent="0.35">
      <c r="A78" s="10"/>
      <c r="B78" s="55"/>
      <c r="C78" s="53" t="s">
        <v>11</v>
      </c>
      <c r="D78" s="52" t="s">
        <v>6</v>
      </c>
      <c r="E78" s="100">
        <f>E73+E76</f>
        <v>16903569.629086047</v>
      </c>
      <c r="F78" s="100">
        <f t="shared" ref="F78:N78" si="206">F73+F76</f>
        <v>28904594.315880008</v>
      </c>
      <c r="G78" s="100">
        <f t="shared" si="206"/>
        <v>29727568.999258459</v>
      </c>
      <c r="H78" s="100">
        <f t="shared" si="206"/>
        <v>37370701.696740858</v>
      </c>
      <c r="I78" s="100">
        <f t="shared" si="206"/>
        <v>44953581.212082654</v>
      </c>
      <c r="J78" s="100">
        <f t="shared" si="206"/>
        <v>53023522.290220425</v>
      </c>
      <c r="K78" s="100">
        <f t="shared" si="206"/>
        <v>60800343.278911009</v>
      </c>
      <c r="L78" s="100">
        <f t="shared" si="206"/>
        <v>69356722.683509097</v>
      </c>
      <c r="M78" s="100">
        <f t="shared" si="206"/>
        <v>80720294.260134086</v>
      </c>
      <c r="N78" s="100">
        <f t="shared" si="206"/>
        <v>89856560.53945823</v>
      </c>
      <c r="O78" s="100">
        <f t="shared" ref="O78:P78" si="207">O73+O76</f>
        <v>96698592.615253732</v>
      </c>
      <c r="P78" s="100">
        <f t="shared" si="207"/>
        <v>102648050.96068868</v>
      </c>
    </row>
    <row r="79" spans="1:16" s="4" customFormat="1" ht="14.4" x14ac:dyDescent="0.3">
      <c r="A79" s="10"/>
      <c r="B79" s="40"/>
      <c r="C79" s="57" t="s">
        <v>72</v>
      </c>
      <c r="D79" s="56" t="s">
        <v>22</v>
      </c>
      <c r="E79" s="86">
        <f>E78/E$20</f>
        <v>8.9120819731046491E-2</v>
      </c>
      <c r="F79" s="86">
        <f t="shared" ref="F79:N79" si="208">F78/F$20</f>
        <v>0.12158032980566377</v>
      </c>
      <c r="G79" s="86">
        <f t="shared" si="208"/>
        <v>0.11028123697062668</v>
      </c>
      <c r="H79" s="86">
        <f t="shared" si="208"/>
        <v>0.11749467173741457</v>
      </c>
      <c r="I79" s="86">
        <f t="shared" si="208"/>
        <v>0.12191591674550305</v>
      </c>
      <c r="J79" s="86">
        <f t="shared" si="208"/>
        <v>0.12537085127341716</v>
      </c>
      <c r="K79" s="86">
        <f t="shared" si="208"/>
        <v>0.12752186120185241</v>
      </c>
      <c r="L79" s="86">
        <f t="shared" si="208"/>
        <v>0.12981701056845565</v>
      </c>
      <c r="M79" s="86">
        <f t="shared" si="208"/>
        <v>0.13706384247829331</v>
      </c>
      <c r="N79" s="86">
        <f t="shared" si="208"/>
        <v>0.14036180871812959</v>
      </c>
      <c r="O79" s="86">
        <f t="shared" ref="O79:P79" si="209">O78/O$20</f>
        <v>0.14018580422446963</v>
      </c>
      <c r="P79" s="86">
        <f t="shared" si="209"/>
        <v>0.13921187967330437</v>
      </c>
    </row>
    <row r="80" spans="1:16" s="4" customFormat="1" ht="14.4" x14ac:dyDescent="0.3">
      <c r="A80" s="10"/>
      <c r="B80" s="40"/>
      <c r="C80" s="27"/>
      <c r="D80" s="17"/>
      <c r="E80" s="44"/>
      <c r="F80" s="44"/>
      <c r="G80" s="44"/>
      <c r="H80" s="44"/>
      <c r="I80" s="74"/>
      <c r="J80" s="74"/>
      <c r="K80" s="74"/>
      <c r="L80" s="74"/>
      <c r="M80" s="74"/>
      <c r="N80" s="74"/>
      <c r="O80" s="74"/>
      <c r="P80" s="74"/>
    </row>
    <row r="81" spans="1:16" s="4" customFormat="1" ht="14.4" x14ac:dyDescent="0.3">
      <c r="A81" s="10"/>
      <c r="B81" s="40"/>
      <c r="C81" s="50" t="s">
        <v>63</v>
      </c>
      <c r="D81" s="16" t="s">
        <v>6</v>
      </c>
      <c r="E81" s="101">
        <f t="shared" ref="E81:N81" si="210">E82+E83</f>
        <v>-4128014.875000007</v>
      </c>
      <c r="F81" s="101">
        <f t="shared" si="210"/>
        <v>-8937381.8114640024</v>
      </c>
      <c r="G81" s="101">
        <f t="shared" si="210"/>
        <v>-6148781.1006033216</v>
      </c>
      <c r="H81" s="101">
        <f t="shared" si="210"/>
        <v>-4540838.144577804</v>
      </c>
      <c r="I81" s="101">
        <f t="shared" si="210"/>
        <v>0</v>
      </c>
      <c r="J81" s="101">
        <f t="shared" si="210"/>
        <v>0</v>
      </c>
      <c r="K81" s="101">
        <f t="shared" si="210"/>
        <v>0</v>
      </c>
      <c r="L81" s="101">
        <f t="shared" si="210"/>
        <v>0</v>
      </c>
      <c r="M81" s="101">
        <f t="shared" si="210"/>
        <v>0</v>
      </c>
      <c r="N81" s="101">
        <f t="shared" si="210"/>
        <v>0</v>
      </c>
      <c r="O81" s="101">
        <f t="shared" ref="O81" si="211">O82+O83</f>
        <v>0</v>
      </c>
      <c r="P81" s="101">
        <f t="shared" ref="P81" si="212">P82+P83</f>
        <v>0</v>
      </c>
    </row>
    <row r="82" spans="1:16" s="4" customFormat="1" ht="14.4" x14ac:dyDescent="0.3">
      <c r="A82" s="10"/>
      <c r="B82" s="40"/>
      <c r="C82" s="19" t="s">
        <v>65</v>
      </c>
      <c r="D82" s="17" t="s">
        <v>6</v>
      </c>
      <c r="E82" s="94">
        <f>Histórico!E46</f>
        <v>101162.48</v>
      </c>
      <c r="F82" s="94">
        <f>Histórico!F46</f>
        <v>91046.232000000004</v>
      </c>
      <c r="G82" s="94">
        <f>Histórico!G46</f>
        <v>924772.39343150659</v>
      </c>
      <c r="H82" s="94">
        <f>Histórico!H46</f>
        <v>606689.94180956518</v>
      </c>
      <c r="I82" s="153"/>
      <c r="J82" s="153"/>
      <c r="K82" s="153"/>
      <c r="L82" s="153"/>
      <c r="M82" s="153"/>
      <c r="N82" s="153"/>
      <c r="O82" s="153"/>
      <c r="P82" s="153"/>
    </row>
    <row r="83" spans="1:16" s="4" customFormat="1" ht="14.4" x14ac:dyDescent="0.3">
      <c r="A83" s="10"/>
      <c r="B83" s="40"/>
      <c r="C83" s="19" t="s">
        <v>64</v>
      </c>
      <c r="D83" s="17" t="s">
        <v>6</v>
      </c>
      <c r="E83" s="94">
        <f>Histórico!E47</f>
        <v>-4229177.355000007</v>
      </c>
      <c r="F83" s="94">
        <f>Histórico!F47</f>
        <v>-9028428.0434640031</v>
      </c>
      <c r="G83" s="94">
        <f>Histórico!G47</f>
        <v>-7073553.4940348286</v>
      </c>
      <c r="H83" s="94">
        <f>Histórico!H47</f>
        <v>-5147528.0863873689</v>
      </c>
      <c r="I83" s="153"/>
      <c r="J83" s="153"/>
      <c r="K83" s="153"/>
      <c r="L83" s="153"/>
      <c r="M83" s="153"/>
      <c r="N83" s="153"/>
      <c r="O83" s="153"/>
      <c r="P83" s="153"/>
    </row>
    <row r="84" spans="1:16" s="4" customFormat="1" ht="14.4" x14ac:dyDescent="0.3">
      <c r="A84" s="10"/>
      <c r="B84" s="40"/>
      <c r="C84" s="27"/>
      <c r="D84" s="27"/>
      <c r="E84" s="44"/>
      <c r="F84" s="44"/>
      <c r="G84" s="44"/>
      <c r="H84" s="44"/>
      <c r="I84" s="74"/>
      <c r="J84" s="74"/>
      <c r="K84" s="74"/>
      <c r="L84" s="74"/>
      <c r="M84" s="74"/>
      <c r="N84" s="74"/>
      <c r="O84" s="74"/>
      <c r="P84" s="74"/>
    </row>
    <row r="85" spans="1:16" s="4" customFormat="1" ht="14.4" x14ac:dyDescent="0.3">
      <c r="A85" s="10"/>
      <c r="B85" s="40"/>
      <c r="C85" s="50" t="s">
        <v>66</v>
      </c>
      <c r="D85" s="16" t="s">
        <v>6</v>
      </c>
      <c r="E85" s="101">
        <f t="shared" ref="E85:N85" si="213">E86+E87</f>
        <v>0</v>
      </c>
      <c r="F85" s="101">
        <f t="shared" si="213"/>
        <v>-1242590</v>
      </c>
      <c r="G85" s="101">
        <f t="shared" si="213"/>
        <v>-227000</v>
      </c>
      <c r="H85" s="101">
        <f t="shared" si="213"/>
        <v>-150000</v>
      </c>
      <c r="I85" s="101">
        <f t="shared" si="213"/>
        <v>0</v>
      </c>
      <c r="J85" s="101">
        <f t="shared" si="213"/>
        <v>0</v>
      </c>
      <c r="K85" s="101">
        <f t="shared" si="213"/>
        <v>0</v>
      </c>
      <c r="L85" s="101">
        <f t="shared" si="213"/>
        <v>0</v>
      </c>
      <c r="M85" s="101">
        <f t="shared" si="213"/>
        <v>0</v>
      </c>
      <c r="N85" s="101">
        <f t="shared" si="213"/>
        <v>0</v>
      </c>
      <c r="O85" s="101">
        <f t="shared" ref="O85" si="214">O86+O87</f>
        <v>0</v>
      </c>
      <c r="P85" s="101">
        <f t="shared" ref="P85" si="215">P86+P87</f>
        <v>0</v>
      </c>
    </row>
    <row r="86" spans="1:16" s="4" customFormat="1" ht="14.4" x14ac:dyDescent="0.3">
      <c r="A86" s="10"/>
      <c r="B86" s="40"/>
      <c r="C86" s="19" t="s">
        <v>67</v>
      </c>
      <c r="D86" s="17" t="s">
        <v>6</v>
      </c>
      <c r="E86" s="94">
        <f>Histórico!E50</f>
        <v>0</v>
      </c>
      <c r="F86" s="94">
        <f>Histórico!F50</f>
        <v>0</v>
      </c>
      <c r="G86" s="94">
        <f>Histórico!G50</f>
        <v>200000</v>
      </c>
      <c r="H86" s="94">
        <f>Histórico!H50</f>
        <v>45000</v>
      </c>
      <c r="I86" s="153"/>
      <c r="J86" s="153"/>
      <c r="K86" s="153"/>
      <c r="L86" s="153"/>
      <c r="M86" s="153"/>
      <c r="N86" s="153"/>
      <c r="O86" s="153"/>
      <c r="P86" s="153"/>
    </row>
    <row r="87" spans="1:16" s="4" customFormat="1" ht="14.4" x14ac:dyDescent="0.3">
      <c r="A87" s="10"/>
      <c r="B87" s="40"/>
      <c r="C87" s="19" t="s">
        <v>68</v>
      </c>
      <c r="D87" s="17" t="s">
        <v>6</v>
      </c>
      <c r="E87" s="94">
        <f>Histórico!E51</f>
        <v>0</v>
      </c>
      <c r="F87" s="94">
        <f>Histórico!F51</f>
        <v>-1242590</v>
      </c>
      <c r="G87" s="94">
        <f>Histórico!G51</f>
        <v>-427000</v>
      </c>
      <c r="H87" s="94">
        <f>Histórico!H51</f>
        <v>-195000</v>
      </c>
      <c r="I87" s="153"/>
      <c r="J87" s="153"/>
      <c r="K87" s="153"/>
      <c r="L87" s="153"/>
      <c r="M87" s="153"/>
      <c r="N87" s="153"/>
      <c r="O87" s="153"/>
      <c r="P87" s="153"/>
    </row>
    <row r="88" spans="1:16" s="4" customFormat="1" ht="14.4" x14ac:dyDescent="0.3">
      <c r="A88" s="10"/>
      <c r="B88" s="40"/>
      <c r="C88" s="27"/>
      <c r="D88" s="27"/>
      <c r="E88" s="44"/>
      <c r="F88" s="44"/>
      <c r="G88" s="44"/>
      <c r="H88" s="44"/>
      <c r="I88" s="74"/>
      <c r="J88" s="74"/>
      <c r="K88" s="74"/>
      <c r="L88" s="74"/>
      <c r="M88" s="74"/>
      <c r="N88" s="74"/>
      <c r="O88" s="74"/>
      <c r="P88" s="74"/>
    </row>
    <row r="89" spans="1:16" s="4" customFormat="1" ht="15" thickBot="1" x14ac:dyDescent="0.35">
      <c r="A89" s="10"/>
      <c r="B89" s="40"/>
      <c r="C89" s="53" t="s">
        <v>105</v>
      </c>
      <c r="D89" s="52" t="s">
        <v>6</v>
      </c>
      <c r="E89" s="100">
        <f>E78+E81+E85</f>
        <v>12775554.75408604</v>
      </c>
      <c r="F89" s="100">
        <f t="shared" ref="F89:N89" si="216">F78+F81+F85</f>
        <v>18724622.504416004</v>
      </c>
      <c r="G89" s="100">
        <f t="shared" si="216"/>
        <v>23351787.898655139</v>
      </c>
      <c r="H89" s="100">
        <f t="shared" si="216"/>
        <v>32679863.552163053</v>
      </c>
      <c r="I89" s="100">
        <f t="shared" si="216"/>
        <v>44953581.212082654</v>
      </c>
      <c r="J89" s="100">
        <f t="shared" si="216"/>
        <v>53023522.290220425</v>
      </c>
      <c r="K89" s="100">
        <f t="shared" si="216"/>
        <v>60800343.278911009</v>
      </c>
      <c r="L89" s="100">
        <f t="shared" si="216"/>
        <v>69356722.683509097</v>
      </c>
      <c r="M89" s="100">
        <f t="shared" si="216"/>
        <v>80720294.260134086</v>
      </c>
      <c r="N89" s="100">
        <f t="shared" si="216"/>
        <v>89856560.53945823</v>
      </c>
      <c r="O89" s="100">
        <f t="shared" ref="O89:P89" si="217">O78+O81+O85</f>
        <v>96698592.615253732</v>
      </c>
      <c r="P89" s="100">
        <f t="shared" si="217"/>
        <v>102648050.96068868</v>
      </c>
    </row>
    <row r="90" spans="1:16" s="4" customFormat="1" ht="14.4" x14ac:dyDescent="0.3">
      <c r="A90" s="10"/>
      <c r="B90" s="40"/>
      <c r="C90" s="54" t="s">
        <v>69</v>
      </c>
      <c r="D90" s="21" t="s">
        <v>6</v>
      </c>
      <c r="E90" s="99">
        <f>Histórico!E54</f>
        <v>-4265757.732389329</v>
      </c>
      <c r="F90" s="99">
        <f>Histórico!F54</f>
        <v>-6263386.2277271533</v>
      </c>
      <c r="G90" s="99">
        <f>Histórico!G54</f>
        <v>-7846200.7339481274</v>
      </c>
      <c r="H90" s="99">
        <f>Histórico!H54</f>
        <v>-11045793.880631112</v>
      </c>
      <c r="I90" s="108">
        <f>IF(I89&lt;0,0,IF(I89&gt;=0,I89*I91))</f>
        <v>-15284217.612108104</v>
      </c>
      <c r="J90" s="108">
        <f t="shared" ref="J90:N90" si="218">IF(J89&lt;0,0,IF(J89&gt;=0,J89*J91))</f>
        <v>-18027997.578674946</v>
      </c>
      <c r="K90" s="108">
        <f t="shared" si="218"/>
        <v>-20672116.714829743</v>
      </c>
      <c r="L90" s="108">
        <f t="shared" si="218"/>
        <v>-23581285.712393094</v>
      </c>
      <c r="M90" s="108">
        <f t="shared" si="218"/>
        <v>-27444900.04844559</v>
      </c>
      <c r="N90" s="108">
        <f t="shared" si="218"/>
        <v>-30551230.583415799</v>
      </c>
      <c r="O90" s="108">
        <f t="shared" ref="O90:P90" si="219">IF(O89&lt;0,0,IF(O89&gt;=0,O89*O91))</f>
        <v>-32877521.489186272</v>
      </c>
      <c r="P90" s="108">
        <f t="shared" si="219"/>
        <v>-34900337.326634154</v>
      </c>
    </row>
    <row r="91" spans="1:16" s="4" customFormat="1" ht="14.4" x14ac:dyDescent="0.3">
      <c r="A91" s="10"/>
      <c r="B91" s="40"/>
      <c r="C91" s="39" t="s">
        <v>106</v>
      </c>
      <c r="D91" s="51" t="s">
        <v>22</v>
      </c>
      <c r="E91" s="86">
        <f>E90/E89</f>
        <v>-0.33390000000000003</v>
      </c>
      <c r="F91" s="86">
        <f t="shared" ref="F91:H91" si="220">F90/F89</f>
        <v>-0.33450000000000002</v>
      </c>
      <c r="G91" s="86">
        <f t="shared" si="220"/>
        <v>-0.33600000000000002</v>
      </c>
      <c r="H91" s="86">
        <f t="shared" si="220"/>
        <v>-0.33799999999999997</v>
      </c>
      <c r="I91" s="113">
        <v>-0.34</v>
      </c>
      <c r="J91" s="113">
        <f>I91</f>
        <v>-0.34</v>
      </c>
      <c r="K91" s="113">
        <f t="shared" ref="K91:N91" si="221">J91</f>
        <v>-0.34</v>
      </c>
      <c r="L91" s="113">
        <f t="shared" si="221"/>
        <v>-0.34</v>
      </c>
      <c r="M91" s="113">
        <f t="shared" si="221"/>
        <v>-0.34</v>
      </c>
      <c r="N91" s="113">
        <f t="shared" si="221"/>
        <v>-0.34</v>
      </c>
      <c r="O91" s="113">
        <f t="shared" ref="O91" si="222">N91</f>
        <v>-0.34</v>
      </c>
      <c r="P91" s="113">
        <f t="shared" ref="P91" si="223">O91</f>
        <v>-0.34</v>
      </c>
    </row>
    <row r="92" spans="1:16" s="4" customFormat="1" ht="14.4" x14ac:dyDescent="0.3">
      <c r="A92" s="10"/>
      <c r="B92" s="40"/>
      <c r="C92" s="27"/>
      <c r="D92" s="27"/>
      <c r="E92" s="44"/>
      <c r="F92" s="44"/>
      <c r="G92" s="44"/>
      <c r="H92" s="44"/>
      <c r="I92" s="74"/>
      <c r="J92" s="74"/>
      <c r="K92" s="74"/>
      <c r="L92" s="74"/>
      <c r="M92" s="74"/>
      <c r="N92" s="74"/>
      <c r="O92" s="74"/>
      <c r="P92" s="74"/>
    </row>
    <row r="93" spans="1:16" s="4" customFormat="1" ht="15" thickBot="1" x14ac:dyDescent="0.35">
      <c r="A93" s="10"/>
      <c r="B93" s="40"/>
      <c r="C93" s="53" t="s">
        <v>70</v>
      </c>
      <c r="D93" s="52" t="s">
        <v>6</v>
      </c>
      <c r="E93" s="100">
        <f>E89+E90</f>
        <v>8509797.021696711</v>
      </c>
      <c r="F93" s="100">
        <f t="shared" ref="F93:H93" si="224">F89+F90</f>
        <v>12461236.276688851</v>
      </c>
      <c r="G93" s="100">
        <f t="shared" si="224"/>
        <v>15505587.164707012</v>
      </c>
      <c r="H93" s="100">
        <f t="shared" si="224"/>
        <v>21634069.671531942</v>
      </c>
      <c r="I93" s="100">
        <f t="shared" ref="I93:N93" si="225">I89+I90</f>
        <v>29669363.59997455</v>
      </c>
      <c r="J93" s="100">
        <f t="shared" si="225"/>
        <v>34995524.711545482</v>
      </c>
      <c r="K93" s="100">
        <f t="shared" si="225"/>
        <v>40128226.564081267</v>
      </c>
      <c r="L93" s="100">
        <f t="shared" si="225"/>
        <v>45775436.971116006</v>
      </c>
      <c r="M93" s="100">
        <f t="shared" si="225"/>
        <v>53275394.211688496</v>
      </c>
      <c r="N93" s="100">
        <f t="shared" si="225"/>
        <v>59305329.956042431</v>
      </c>
      <c r="O93" s="100">
        <f t="shared" ref="O93:P93" si="226">O89+O90</f>
        <v>63821071.12606746</v>
      </c>
      <c r="P93" s="100">
        <f t="shared" si="226"/>
        <v>67747713.634054527</v>
      </c>
    </row>
    <row r="94" spans="1:16" s="4" customFormat="1" ht="14.4" x14ac:dyDescent="0.3">
      <c r="A94" s="10"/>
      <c r="B94" s="40"/>
      <c r="C94" s="39" t="s">
        <v>71</v>
      </c>
      <c r="D94" s="51" t="s">
        <v>22</v>
      </c>
      <c r="E94" s="86">
        <f>E93/E$20</f>
        <v>4.4866268069996683E-2</v>
      </c>
      <c r="F94" s="86">
        <f t="shared" ref="F94" si="227">F93/F$20</f>
        <v>5.2415238897637037E-2</v>
      </c>
      <c r="G94" s="86">
        <f t="shared" ref="G94" si="228">G93/G$20</f>
        <v>5.7521532706640628E-2</v>
      </c>
      <c r="H94" s="86">
        <f>H93/H$20</f>
        <v>6.8018201398200737E-2</v>
      </c>
      <c r="I94" s="86">
        <f t="shared" ref="I94:N94" si="229">I93/I$20</f>
        <v>8.0464505052032009E-2</v>
      </c>
      <c r="J94" s="86">
        <f t="shared" si="229"/>
        <v>8.2744761840455316E-2</v>
      </c>
      <c r="K94" s="86">
        <f t="shared" si="229"/>
        <v>8.4164428393222593E-2</v>
      </c>
      <c r="L94" s="86">
        <f t="shared" si="229"/>
        <v>8.5679226975180739E-2</v>
      </c>
      <c r="M94" s="86">
        <f t="shared" si="229"/>
        <v>9.0462136035673588E-2</v>
      </c>
      <c r="N94" s="86">
        <f t="shared" si="229"/>
        <v>9.2638793753965526E-2</v>
      </c>
      <c r="O94" s="86">
        <f t="shared" ref="O94:P94" si="230">O93/O$20</f>
        <v>9.2522630788149943E-2</v>
      </c>
      <c r="P94" s="86">
        <f t="shared" si="230"/>
        <v>9.1879840584380867E-2</v>
      </c>
    </row>
    <row r="95" spans="1:16" s="36" customFormat="1" ht="14.4" x14ac:dyDescent="0.3">
      <c r="A95" s="37"/>
      <c r="B95" s="37"/>
      <c r="C95" s="36" t="s">
        <v>5</v>
      </c>
      <c r="D95" s="93">
        <f>SUM(E95:H95)</f>
        <v>0</v>
      </c>
      <c r="E95" s="93">
        <f>Histórico!E56-E93</f>
        <v>0</v>
      </c>
      <c r="F95" s="93">
        <f>Histórico!F56-F93</f>
        <v>0</v>
      </c>
      <c r="G95" s="93">
        <f>Histórico!G56-G93</f>
        <v>0</v>
      </c>
      <c r="H95" s="93">
        <f>Histórico!H56-H93</f>
        <v>0</v>
      </c>
      <c r="I95" s="109"/>
      <c r="J95" s="109"/>
      <c r="K95" s="109"/>
      <c r="L95" s="109"/>
      <c r="M95" s="109"/>
      <c r="N95" s="109"/>
      <c r="O95" s="109"/>
      <c r="P95" s="109"/>
    </row>
    <row r="96" spans="1:16" s="4" customFormat="1" ht="14.4" x14ac:dyDescent="0.3">
      <c r="A96" s="10"/>
      <c r="B96" s="10"/>
      <c r="E96" s="44"/>
      <c r="F96" s="44"/>
      <c r="G96" s="44"/>
      <c r="H96" s="44"/>
      <c r="I96" s="74"/>
      <c r="J96" s="74"/>
      <c r="K96" s="74"/>
      <c r="L96" s="74"/>
      <c r="M96" s="74"/>
      <c r="N96" s="74"/>
      <c r="O96" s="74"/>
      <c r="P96" s="74"/>
    </row>
    <row r="97" spans="1:16" s="4" customFormat="1" ht="14.4" x14ac:dyDescent="0.3">
      <c r="A97" s="10"/>
      <c r="B97" s="10"/>
      <c r="E97" s="44"/>
      <c r="F97" s="44"/>
      <c r="G97" s="44"/>
      <c r="H97" s="44"/>
      <c r="I97" s="74"/>
      <c r="J97" s="74"/>
      <c r="K97" s="74"/>
      <c r="L97" s="74"/>
      <c r="M97" s="74"/>
      <c r="N97" s="74"/>
      <c r="O97" s="74"/>
      <c r="P97" s="74"/>
    </row>
    <row r="98" spans="1:16" s="18" customFormat="1" ht="14.4" x14ac:dyDescent="0.3">
      <c r="A98" s="20"/>
      <c r="B98" s="20"/>
      <c r="C98" s="25"/>
      <c r="D98" s="24"/>
      <c r="E98" s="184" t="s">
        <v>122</v>
      </c>
      <c r="F98" s="184"/>
      <c r="G98" s="184"/>
      <c r="H98" s="184"/>
      <c r="I98" s="185" t="s">
        <v>136</v>
      </c>
      <c r="J98" s="186"/>
      <c r="K98" s="186"/>
      <c r="L98" s="186"/>
      <c r="M98" s="186"/>
      <c r="N98" s="186"/>
      <c r="O98" s="186"/>
      <c r="P98" s="186"/>
    </row>
    <row r="99" spans="1:16" s="4" customFormat="1" ht="14.4" x14ac:dyDescent="0.3">
      <c r="A99" s="10"/>
      <c r="B99" s="10"/>
      <c r="D99" s="65" t="s">
        <v>28</v>
      </c>
      <c r="E99" s="67">
        <f t="shared" ref="E99:P99" si="231">E3</f>
        <v>2015</v>
      </c>
      <c r="F99" s="67">
        <f t="shared" si="231"/>
        <v>2016</v>
      </c>
      <c r="G99" s="67">
        <f t="shared" si="231"/>
        <v>2017</v>
      </c>
      <c r="H99" s="67">
        <f t="shared" si="231"/>
        <v>2018</v>
      </c>
      <c r="I99" s="67" t="str">
        <f t="shared" si="231"/>
        <v>2019E</v>
      </c>
      <c r="J99" s="67" t="str">
        <f t="shared" si="231"/>
        <v>2020E</v>
      </c>
      <c r="K99" s="67" t="str">
        <f t="shared" si="231"/>
        <v>2021E</v>
      </c>
      <c r="L99" s="67" t="str">
        <f t="shared" si="231"/>
        <v>2022E</v>
      </c>
      <c r="M99" s="67" t="str">
        <f t="shared" si="231"/>
        <v>2023E</v>
      </c>
      <c r="N99" s="67" t="str">
        <f t="shared" si="231"/>
        <v>2024E</v>
      </c>
      <c r="O99" s="67" t="str">
        <f t="shared" si="231"/>
        <v>2025E</v>
      </c>
      <c r="P99" s="67" t="str">
        <f t="shared" si="231"/>
        <v>2026E</v>
      </c>
    </row>
    <row r="100" spans="1:16" s="4" customFormat="1" ht="14.4" x14ac:dyDescent="0.3">
      <c r="A100" s="10"/>
      <c r="B100" s="13" t="s">
        <v>73</v>
      </c>
      <c r="C100" s="12"/>
      <c r="D100" s="11"/>
      <c r="E100" s="11"/>
      <c r="F100" s="11"/>
      <c r="G100" s="11"/>
      <c r="H100" s="11"/>
      <c r="I100" s="119"/>
      <c r="J100" s="119"/>
      <c r="K100" s="119"/>
      <c r="L100" s="119"/>
      <c r="M100" s="119"/>
      <c r="N100" s="119"/>
      <c r="O100" s="119"/>
      <c r="P100" s="119"/>
    </row>
    <row r="101" spans="1:16" s="4" customFormat="1" ht="14.4" x14ac:dyDescent="0.3">
      <c r="A101" s="10"/>
      <c r="B101" s="10"/>
      <c r="C101" s="49" t="s">
        <v>74</v>
      </c>
      <c r="D101" s="21" t="s">
        <v>6</v>
      </c>
      <c r="E101" s="96">
        <f>SUM(E102,E108)</f>
        <v>100098754.62591667</v>
      </c>
      <c r="F101" s="96">
        <f t="shared" ref="F101:N101" si="232">SUM(F102,F108)</f>
        <v>143127844.11675408</v>
      </c>
      <c r="G101" s="96">
        <f t="shared" si="232"/>
        <v>144082560.81012034</v>
      </c>
      <c r="H101" s="96">
        <f t="shared" si="232"/>
        <v>156147963.9182753</v>
      </c>
      <c r="I101" s="96">
        <f t="shared" si="232"/>
        <v>192966759.3607491</v>
      </c>
      <c r="J101" s="96">
        <f t="shared" si="232"/>
        <v>235426885.14644364</v>
      </c>
      <c r="K101" s="96">
        <f t="shared" si="232"/>
        <v>282978517.89627784</v>
      </c>
      <c r="L101" s="96">
        <f t="shared" si="232"/>
        <v>336665282.61995924</v>
      </c>
      <c r="M101" s="96">
        <f t="shared" si="232"/>
        <v>397580166.49147838</v>
      </c>
      <c r="N101" s="96">
        <f t="shared" si="232"/>
        <v>464002448.04586452</v>
      </c>
      <c r="O101" s="96">
        <f t="shared" ref="O101:P101" si="233">SUM(O102,O108)</f>
        <v>534632558.51682174</v>
      </c>
      <c r="P101" s="96">
        <f t="shared" si="233"/>
        <v>608924730.94642353</v>
      </c>
    </row>
    <row r="102" spans="1:16" s="4" customFormat="1" ht="14.4" x14ac:dyDescent="0.3">
      <c r="A102" s="10"/>
      <c r="B102" s="10"/>
      <c r="C102" s="47" t="s">
        <v>75</v>
      </c>
      <c r="D102" s="21" t="s">
        <v>6</v>
      </c>
      <c r="E102" s="96">
        <f>SUM(E103:E106)</f>
        <v>74008987.18416667</v>
      </c>
      <c r="F102" s="96">
        <f t="shared" ref="F102:N102" si="234">SUM(F103:F106)</f>
        <v>118590144.38432409</v>
      </c>
      <c r="G102" s="96">
        <f t="shared" si="234"/>
        <v>119567029.53988993</v>
      </c>
      <c r="H102" s="96">
        <f t="shared" si="234"/>
        <v>130961223.12838623</v>
      </c>
      <c r="I102" s="96">
        <f t="shared" si="234"/>
        <v>166822429.2166757</v>
      </c>
      <c r="J102" s="96">
        <f t="shared" si="234"/>
        <v>208076525.03784621</v>
      </c>
      <c r="K102" s="96">
        <f t="shared" si="234"/>
        <v>254212545.74733815</v>
      </c>
      <c r="L102" s="96">
        <f t="shared" si="234"/>
        <v>306267798.72099453</v>
      </c>
      <c r="M102" s="96">
        <f t="shared" si="234"/>
        <v>362059621.57170492</v>
      </c>
      <c r="N102" s="96">
        <f t="shared" si="234"/>
        <v>421508742.69645333</v>
      </c>
      <c r="O102" s="96">
        <f t="shared" ref="O102:P102" si="235">SUM(O103:O106)</f>
        <v>485483030.37988341</v>
      </c>
      <c r="P102" s="96">
        <f t="shared" si="235"/>
        <v>553565797.89113069</v>
      </c>
    </row>
    <row r="103" spans="1:16" s="4" customFormat="1" ht="14.4" x14ac:dyDescent="0.3">
      <c r="A103" s="10"/>
      <c r="B103" s="40"/>
      <c r="C103" s="19" t="s">
        <v>29</v>
      </c>
      <c r="D103" s="17" t="s">
        <v>6</v>
      </c>
      <c r="E103" s="94">
        <f>Histórico!E63</f>
        <v>2529062</v>
      </c>
      <c r="F103" s="94">
        <f>Histórico!F63</f>
        <v>25688122.039764069</v>
      </c>
      <c r="G103" s="94">
        <f>Histórico!G63</f>
        <v>16852498.383599032</v>
      </c>
      <c r="H103" s="94">
        <f>Histórico!H63</f>
        <v>9115958.4961916395</v>
      </c>
      <c r="I103" s="107">
        <f t="shared" ref="I103:P103" si="236">H103+I209</f>
        <v>25654194.072125323</v>
      </c>
      <c r="J103" s="107">
        <f t="shared" si="236"/>
        <v>46233576.897763073</v>
      </c>
      <c r="K103" s="107">
        <f t="shared" si="236"/>
        <v>71831058.666605026</v>
      </c>
      <c r="L103" s="107">
        <f t="shared" si="236"/>
        <v>101962781.03578353</v>
      </c>
      <c r="M103" s="107">
        <f t="shared" si="236"/>
        <v>136907425.75933677</v>
      </c>
      <c r="N103" s="107">
        <f t="shared" si="236"/>
        <v>176808478.35387942</v>
      </c>
      <c r="O103" s="107">
        <f t="shared" si="236"/>
        <v>221861229.74425709</v>
      </c>
      <c r="P103" s="107">
        <f t="shared" si="236"/>
        <v>271803632.3471005</v>
      </c>
    </row>
    <row r="104" spans="1:16" s="4" customFormat="1" ht="14.4" x14ac:dyDescent="0.3">
      <c r="A104" s="10"/>
      <c r="B104" s="10"/>
      <c r="C104" s="19" t="s">
        <v>30</v>
      </c>
      <c r="D104" s="17" t="s">
        <v>6</v>
      </c>
      <c r="E104" s="94">
        <f>Histórico!E64</f>
        <v>47875506.25</v>
      </c>
      <c r="F104" s="94">
        <f>Histórico!F64</f>
        <v>61295851.80333335</v>
      </c>
      <c r="G104" s="94">
        <f>Histórico!G64</f>
        <v>67661003.917000026</v>
      </c>
      <c r="H104" s="94">
        <f>Histórico!H64</f>
        <v>82574481.958150014</v>
      </c>
      <c r="I104" s="107">
        <f t="shared" ref="I104:P104" si="237">I5*I132/360</f>
        <v>95727488.33247602</v>
      </c>
      <c r="J104" s="107">
        <f t="shared" si="237"/>
        <v>109800616.04561506</v>
      </c>
      <c r="K104" s="107">
        <f t="shared" si="237"/>
        <v>123781051.06376991</v>
      </c>
      <c r="L104" s="107">
        <f t="shared" si="237"/>
        <v>138704239.89770415</v>
      </c>
      <c r="M104" s="107">
        <f t="shared" si="237"/>
        <v>152894763.37947798</v>
      </c>
      <c r="N104" s="107">
        <f t="shared" si="237"/>
        <v>166200992.34769735</v>
      </c>
      <c r="O104" s="107">
        <f t="shared" si="237"/>
        <v>179080745.35024014</v>
      </c>
      <c r="P104" s="107">
        <f t="shared" si="237"/>
        <v>191428760.63703394</v>
      </c>
    </row>
    <row r="105" spans="1:16" s="4" customFormat="1" ht="14.4" x14ac:dyDescent="0.3">
      <c r="A105" s="10"/>
      <c r="B105" s="10"/>
      <c r="C105" s="19" t="s">
        <v>77</v>
      </c>
      <c r="D105" s="17" t="s">
        <v>6</v>
      </c>
      <c r="E105" s="94">
        <f>Histórico!E65</f>
        <v>23075438.934166662</v>
      </c>
      <c r="F105" s="94">
        <f>Histórico!F65</f>
        <v>30948214.541226674</v>
      </c>
      <c r="G105" s="94">
        <f>Histórico!G65</f>
        <v>34575165.239290871</v>
      </c>
      <c r="H105" s="94">
        <f>Histórico!H65</f>
        <v>38734991.674044587</v>
      </c>
      <c r="I105" s="107">
        <f t="shared" ref="I105:P105" si="238">-I26*I133/360</f>
        <v>44904955.812074371</v>
      </c>
      <c r="J105" s="107">
        <f t="shared" si="238"/>
        <v>51506541.094468065</v>
      </c>
      <c r="K105" s="107">
        <f t="shared" si="238"/>
        <v>58064645.016963214</v>
      </c>
      <c r="L105" s="107">
        <f t="shared" si="238"/>
        <v>65064986.787506849</v>
      </c>
      <c r="M105" s="107">
        <f t="shared" si="238"/>
        <v>71721641.432890192</v>
      </c>
      <c r="N105" s="107">
        <f t="shared" si="238"/>
        <v>77963480.994876534</v>
      </c>
      <c r="O105" s="107">
        <f t="shared" si="238"/>
        <v>84005264.285386235</v>
      </c>
      <c r="P105" s="107">
        <f t="shared" si="238"/>
        <v>89797613.906996265</v>
      </c>
    </row>
    <row r="106" spans="1:16" s="4" customFormat="1" ht="14.4" x14ac:dyDescent="0.3">
      <c r="A106" s="10"/>
      <c r="B106" s="10"/>
      <c r="C106" s="19" t="s">
        <v>27</v>
      </c>
      <c r="D106" s="17" t="s">
        <v>6</v>
      </c>
      <c r="E106" s="94">
        <f>Histórico!E66</f>
        <v>528980</v>
      </c>
      <c r="F106" s="94">
        <f>Histórico!F66</f>
        <v>657956</v>
      </c>
      <c r="G106" s="94">
        <f>Histórico!G66</f>
        <v>478362</v>
      </c>
      <c r="H106" s="94">
        <f>Histórico!H66</f>
        <v>535791</v>
      </c>
      <c r="I106" s="153">
        <f>H106</f>
        <v>535791</v>
      </c>
      <c r="J106" s="153">
        <f t="shared" ref="J106:N106" si="239">I106</f>
        <v>535791</v>
      </c>
      <c r="K106" s="153">
        <f t="shared" si="239"/>
        <v>535791</v>
      </c>
      <c r="L106" s="153">
        <f t="shared" si="239"/>
        <v>535791</v>
      </c>
      <c r="M106" s="153">
        <f t="shared" si="239"/>
        <v>535791</v>
      </c>
      <c r="N106" s="153">
        <f t="shared" si="239"/>
        <v>535791</v>
      </c>
      <c r="O106" s="153">
        <f t="shared" ref="O106" si="240">N106</f>
        <v>535791</v>
      </c>
      <c r="P106" s="153">
        <f t="shared" ref="P106" si="241">O106</f>
        <v>535791</v>
      </c>
    </row>
    <row r="107" spans="1:16" s="4" customFormat="1" ht="14.4" x14ac:dyDescent="0.3">
      <c r="A107" s="10"/>
      <c r="B107" s="10"/>
      <c r="C107" s="15"/>
      <c r="D107" s="27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</row>
    <row r="108" spans="1:16" s="4" customFormat="1" ht="14.4" x14ac:dyDescent="0.3">
      <c r="A108" s="10"/>
      <c r="B108" s="10"/>
      <c r="C108" s="47" t="s">
        <v>76</v>
      </c>
      <c r="D108" s="21" t="s">
        <v>6</v>
      </c>
      <c r="E108" s="96">
        <f>SUM(E109:E112)</f>
        <v>26089767.441750001</v>
      </c>
      <c r="F108" s="96">
        <f t="shared" ref="F108:N108" si="242">SUM(F109:F112)</f>
        <v>24537699.732430004</v>
      </c>
      <c r="G108" s="96">
        <f t="shared" si="242"/>
        <v>24515531.270230405</v>
      </c>
      <c r="H108" s="96">
        <f t="shared" si="242"/>
        <v>25186740.789889056</v>
      </c>
      <c r="I108" s="96">
        <f t="shared" si="242"/>
        <v>26144330.144073397</v>
      </c>
      <c r="J108" s="96">
        <f t="shared" si="242"/>
        <v>27350360.108597428</v>
      </c>
      <c r="K108" s="96">
        <f t="shared" si="242"/>
        <v>28765972.148939699</v>
      </c>
      <c r="L108" s="96">
        <f t="shared" si="242"/>
        <v>30397483.898964711</v>
      </c>
      <c r="M108" s="96">
        <f t="shared" si="242"/>
        <v>35520544.919773482</v>
      </c>
      <c r="N108" s="96">
        <f t="shared" si="242"/>
        <v>42493705.349411167</v>
      </c>
      <c r="O108" s="96">
        <f t="shared" ref="O108:P108" si="243">SUM(O109:O112)</f>
        <v>49149528.136938311</v>
      </c>
      <c r="P108" s="96">
        <f t="shared" si="243"/>
        <v>55358933.05529286</v>
      </c>
    </row>
    <row r="109" spans="1:16" s="4" customFormat="1" ht="14.4" x14ac:dyDescent="0.3">
      <c r="A109" s="10"/>
      <c r="B109" s="10"/>
      <c r="C109" s="19" t="s">
        <v>78</v>
      </c>
      <c r="D109" s="17" t="s">
        <v>6</v>
      </c>
      <c r="E109" s="94">
        <f>Histórico!E69</f>
        <v>42977454.5</v>
      </c>
      <c r="F109" s="94">
        <f>Histórico!F69</f>
        <v>45771080.519600004</v>
      </c>
      <c r="G109" s="94">
        <f>Histórico!G69</f>
        <v>50536768.621580005</v>
      </c>
      <c r="H109" s="94">
        <f>Histórico!H69</f>
        <v>56440262.571151406</v>
      </c>
      <c r="I109" s="107">
        <f>H109+I151</f>
        <v>63284103.849681661</v>
      </c>
      <c r="J109" s="107">
        <f t="shared" ref="J109:N109" si="244">I109+J151</f>
        <v>71134074.653168172</v>
      </c>
      <c r="K109" s="107">
        <f t="shared" si="244"/>
        <v>79983548.106685013</v>
      </c>
      <c r="L109" s="107">
        <f t="shared" si="244"/>
        <v>89899924.46894905</v>
      </c>
      <c r="M109" s="107">
        <f t="shared" si="244"/>
        <v>100830823.32689595</v>
      </c>
      <c r="N109" s="107">
        <f t="shared" si="244"/>
        <v>112713023.85023274</v>
      </c>
      <c r="O109" s="107">
        <f t="shared" ref="O109" si="245">N109+O151</f>
        <v>125516036.01076539</v>
      </c>
      <c r="P109" s="107">
        <f t="shared" ref="P109" si="246">O109+P151</f>
        <v>139201844.30644968</v>
      </c>
    </row>
    <row r="110" spans="1:16" s="4" customFormat="1" ht="14.4" x14ac:dyDescent="0.3">
      <c r="A110" s="10"/>
      <c r="B110" s="10"/>
      <c r="C110" s="19" t="s">
        <v>79</v>
      </c>
      <c r="D110" s="17" t="s">
        <v>6</v>
      </c>
      <c r="E110" s="94">
        <f>Histórico!E70</f>
        <v>-17190981.800000001</v>
      </c>
      <c r="F110" s="94">
        <f>Histórico!F70</f>
        <v>-21628408.550980002</v>
      </c>
      <c r="G110" s="94">
        <f>Histórico!G70</f>
        <v>-26443801.008039001</v>
      </c>
      <c r="H110" s="94">
        <f>Histórico!H70</f>
        <v>-31792652.567675572</v>
      </c>
      <c r="I110" s="107">
        <f>H110-I158</f>
        <v>-37778870.888717227</v>
      </c>
      <c r="J110" s="107">
        <f t="shared" ref="J110:N110" si="247">I110-J158</f>
        <v>-44499779.813859716</v>
      </c>
      <c r="K110" s="107">
        <f t="shared" si="247"/>
        <v>-52055660.951852374</v>
      </c>
      <c r="L110" s="107">
        <f t="shared" si="247"/>
        <v>-60549834.580634072</v>
      </c>
      <c r="M110" s="107">
        <f t="shared" si="247"/>
        <v>-66513850.688326448</v>
      </c>
      <c r="N110" s="107">
        <f t="shared" si="247"/>
        <v>-71547016.790067747</v>
      </c>
      <c r="O110" s="107">
        <f t="shared" ref="O110" si="248">N110-O158</f>
        <v>-77814443.526002511</v>
      </c>
      <c r="P110" s="107">
        <f t="shared" ref="P110" si="249">O110-P158</f>
        <v>-85406311.284748122</v>
      </c>
    </row>
    <row r="111" spans="1:16" s="4" customFormat="1" ht="14.4" x14ac:dyDescent="0.3">
      <c r="A111" s="10"/>
      <c r="B111" s="10"/>
      <c r="C111" s="19" t="s">
        <v>80</v>
      </c>
      <c r="D111" s="17" t="s">
        <v>6</v>
      </c>
      <c r="E111" s="94">
        <f>Histórico!E71</f>
        <v>388839.41250000003</v>
      </c>
      <c r="F111" s="94">
        <f>Histórico!F71</f>
        <v>577173.7509000001</v>
      </c>
      <c r="G111" s="94">
        <f>Histórico!G71</f>
        <v>736030.02096600016</v>
      </c>
      <c r="H111" s="94">
        <f>Histórico!H71</f>
        <v>1029111.2808738002</v>
      </c>
      <c r="I111" s="107">
        <f>H111+I154</f>
        <v>1368876.4507299121</v>
      </c>
      <c r="J111" s="107">
        <f t="shared" ref="J111:N111" si="250">I111+J154</f>
        <v>1758591.3133143487</v>
      </c>
      <c r="K111" s="107">
        <f t="shared" si="250"/>
        <v>2197926.8748364616</v>
      </c>
      <c r="L111" s="107">
        <f t="shared" si="250"/>
        <v>2690229.2474311297</v>
      </c>
      <c r="M111" s="107">
        <f t="shared" si="250"/>
        <v>3232897.9850596995</v>
      </c>
      <c r="N111" s="107">
        <f t="shared" si="250"/>
        <v>3822794.4649416674</v>
      </c>
      <c r="O111" s="107">
        <f t="shared" ref="O111" si="251">N111+O154</f>
        <v>4458404.9977340689</v>
      </c>
      <c r="P111" s="107">
        <f t="shared" ref="P111" si="252">O111+P154</f>
        <v>5137842.2890091753</v>
      </c>
    </row>
    <row r="112" spans="1:16" s="4" customFormat="1" ht="14.4" x14ac:dyDescent="0.3">
      <c r="A112" s="10"/>
      <c r="B112" s="10"/>
      <c r="C112" s="19" t="s">
        <v>81</v>
      </c>
      <c r="D112" s="17" t="s">
        <v>6</v>
      </c>
      <c r="E112" s="94">
        <f>Histórico!E72</f>
        <v>-85544.670750000005</v>
      </c>
      <c r="F112" s="94">
        <f>Histórico!F72</f>
        <v>-182145.98709000001</v>
      </c>
      <c r="G112" s="94">
        <f>Histórico!G72</f>
        <v>-313466.36427660007</v>
      </c>
      <c r="H112" s="94">
        <f>Histórico!H72</f>
        <v>-489980.49446058011</v>
      </c>
      <c r="I112" s="107">
        <f>H112-I172</f>
        <v>-729779.2676209514</v>
      </c>
      <c r="J112" s="107">
        <f t="shared" ref="J112:N112" si="253">I112-J172</f>
        <v>-1042526.0440253775</v>
      </c>
      <c r="K112" s="107">
        <f t="shared" si="253"/>
        <v>-1359841.8807293985</v>
      </c>
      <c r="L112" s="107">
        <f t="shared" si="253"/>
        <v>-1642835.2367813976</v>
      </c>
      <c r="M112" s="107">
        <f t="shared" si="253"/>
        <v>-2029325.7038557206</v>
      </c>
      <c r="N112" s="107">
        <f t="shared" si="253"/>
        <v>-2495096.1756954859</v>
      </c>
      <c r="O112" s="107">
        <f t="shared" ref="O112" si="254">N112-O172</f>
        <v>-3010469.3455586336</v>
      </c>
      <c r="P112" s="107">
        <f t="shared" ref="P112" si="255">O112-P172</f>
        <v>-3574442.2554178769</v>
      </c>
    </row>
    <row r="113" spans="1:16" s="4" customFormat="1" ht="14.4" x14ac:dyDescent="0.3">
      <c r="A113" s="10"/>
      <c r="B113" s="10"/>
      <c r="C113" s="27"/>
      <c r="D113" s="27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</row>
    <row r="114" spans="1:16" s="4" customFormat="1" ht="14.4" x14ac:dyDescent="0.3">
      <c r="A114" s="10"/>
      <c r="B114" s="10"/>
      <c r="C114" s="49" t="s">
        <v>82</v>
      </c>
      <c r="D114" s="21" t="s">
        <v>6</v>
      </c>
      <c r="E114" s="95">
        <f>SUM(E115,E122,E125)</f>
        <v>100098754.62591669</v>
      </c>
      <c r="F114" s="95">
        <f t="shared" ref="F114:N114" si="256">SUM(F115,F122,F125)</f>
        <v>143127844.11675411</v>
      </c>
      <c r="G114" s="95">
        <f t="shared" si="256"/>
        <v>144082560.81012034</v>
      </c>
      <c r="H114" s="95">
        <f t="shared" si="256"/>
        <v>156147963.91827533</v>
      </c>
      <c r="I114" s="95">
        <f t="shared" si="256"/>
        <v>192966759.36074913</v>
      </c>
      <c r="J114" s="95">
        <f t="shared" si="256"/>
        <v>235426885.14644367</v>
      </c>
      <c r="K114" s="95">
        <f t="shared" si="256"/>
        <v>282978517.8962779</v>
      </c>
      <c r="L114" s="95">
        <f t="shared" si="256"/>
        <v>336665282.61995924</v>
      </c>
      <c r="M114" s="95">
        <f t="shared" si="256"/>
        <v>397580166.49147844</v>
      </c>
      <c r="N114" s="95">
        <f t="shared" si="256"/>
        <v>464002448.04586452</v>
      </c>
      <c r="O114" s="95">
        <f t="shared" ref="O114:P114" si="257">SUM(O115,O122,O125)</f>
        <v>534632558.51682186</v>
      </c>
      <c r="P114" s="95">
        <f t="shared" si="257"/>
        <v>608924730.94642353</v>
      </c>
    </row>
    <row r="115" spans="1:16" s="4" customFormat="1" ht="14.4" x14ac:dyDescent="0.3">
      <c r="A115" s="10"/>
      <c r="B115" s="10"/>
      <c r="C115" s="47" t="s">
        <v>83</v>
      </c>
      <c r="D115" s="21" t="s">
        <v>6</v>
      </c>
      <c r="E115" s="95">
        <f>SUM(E116:E120)</f>
        <v>46861066.970641121</v>
      </c>
      <c r="F115" s="95">
        <f t="shared" ref="F115:N115" si="258">SUM(F116:F120)</f>
        <v>81535612.183549702</v>
      </c>
      <c r="G115" s="95">
        <f t="shared" si="258"/>
        <v>72751267.660918206</v>
      </c>
      <c r="H115" s="95">
        <f t="shared" si="258"/>
        <v>74992286.436647043</v>
      </c>
      <c r="I115" s="95">
        <f t="shared" si="258"/>
        <v>82141718.279146299</v>
      </c>
      <c r="J115" s="95">
        <f t="shared" si="258"/>
        <v>89606319.353295341</v>
      </c>
      <c r="K115" s="95">
        <f t="shared" si="258"/>
        <v>97029725.539048299</v>
      </c>
      <c r="L115" s="95">
        <f t="shared" si="258"/>
        <v>104941053.29161367</v>
      </c>
      <c r="M115" s="95">
        <f t="shared" si="258"/>
        <v>112580542.95144437</v>
      </c>
      <c r="N115" s="95">
        <f t="shared" si="258"/>
        <v>119697494.549788</v>
      </c>
      <c r="O115" s="95">
        <f t="shared" ref="O115:P115" si="259">SUM(O116:O120)</f>
        <v>126506533.89467786</v>
      </c>
      <c r="P115" s="95">
        <f t="shared" si="259"/>
        <v>133050992.69022508</v>
      </c>
    </row>
    <row r="116" spans="1:16" s="4" customFormat="1" ht="14.4" x14ac:dyDescent="0.3">
      <c r="A116" s="10"/>
      <c r="B116" s="10"/>
      <c r="C116" s="19" t="s">
        <v>84</v>
      </c>
      <c r="D116" s="17" t="s">
        <v>6</v>
      </c>
      <c r="E116" s="94">
        <f>Histórico!E76</f>
        <v>19892619.770833328</v>
      </c>
      <c r="F116" s="94">
        <f>Histórico!F76</f>
        <v>23211160.905920006</v>
      </c>
      <c r="G116" s="94">
        <f>Histórico!G76</f>
        <v>25652541.951731935</v>
      </c>
      <c r="H116" s="94">
        <f>Histórico!H76</f>
        <v>30856688.28271348</v>
      </c>
      <c r="I116" s="107">
        <f t="shared" ref="I116:P116" si="260">-I26*I134/360</f>
        <v>35771744.460466012</v>
      </c>
      <c r="J116" s="107">
        <f t="shared" si="260"/>
        <v>41030634.431186415</v>
      </c>
      <c r="K116" s="107">
        <f t="shared" si="260"/>
        <v>46254886.708428316</v>
      </c>
      <c r="L116" s="107">
        <f t="shared" si="260"/>
        <v>51831430.152759686</v>
      </c>
      <c r="M116" s="107">
        <f t="shared" si="260"/>
        <v>57134188.938065059</v>
      </c>
      <c r="N116" s="107">
        <f t="shared" si="260"/>
        <v>62106501.809477903</v>
      </c>
      <c r="O116" s="107">
        <f t="shared" si="260"/>
        <v>66919447.820561908</v>
      </c>
      <c r="P116" s="107">
        <f t="shared" si="260"/>
        <v>71533692.434386835</v>
      </c>
    </row>
    <row r="117" spans="1:16" s="4" customFormat="1" ht="14.4" x14ac:dyDescent="0.3">
      <c r="A117" s="10"/>
      <c r="B117" s="10"/>
      <c r="C117" s="19" t="s">
        <v>33</v>
      </c>
      <c r="D117" s="17" t="s">
        <v>6</v>
      </c>
      <c r="E117" s="94">
        <f>Histórico!E77</f>
        <v>1116825</v>
      </c>
      <c r="F117" s="94">
        <f>Histórico!F77</f>
        <v>1402748.6888888888</v>
      </c>
      <c r="G117" s="94">
        <f>Histórico!G77</f>
        <v>1798725.3798402781</v>
      </c>
      <c r="H117" s="94">
        <f>Histórico!H77</f>
        <v>1773807.7713630002</v>
      </c>
      <c r="I117" s="107">
        <f>-I138*I135/360</f>
        <v>1968641.9004837871</v>
      </c>
      <c r="J117" s="107">
        <f t="shared" ref="J117:N117" si="261">-J138*J135/360</f>
        <v>2176224.6675000559</v>
      </c>
      <c r="K117" s="107">
        <f t="shared" si="261"/>
        <v>2398796.4449444064</v>
      </c>
      <c r="L117" s="107">
        <f t="shared" si="261"/>
        <v>2614794.5337217622</v>
      </c>
      <c r="M117" s="107">
        <f t="shared" si="261"/>
        <v>2823987.3139324929</v>
      </c>
      <c r="N117" s="107">
        <f t="shared" si="261"/>
        <v>3026754.0040154532</v>
      </c>
      <c r="O117" s="107">
        <f t="shared" ref="O117:P117" si="262">-O138*O135/360</f>
        <v>3213152.0816388158</v>
      </c>
      <c r="P117" s="107">
        <f t="shared" si="262"/>
        <v>3429703.5445787422</v>
      </c>
    </row>
    <row r="118" spans="1:16" s="4" customFormat="1" ht="14.4" x14ac:dyDescent="0.3">
      <c r="A118" s="10"/>
      <c r="B118" s="10"/>
      <c r="C118" s="19" t="s">
        <v>32</v>
      </c>
      <c r="D118" s="17" t="s">
        <v>6</v>
      </c>
      <c r="E118" s="94">
        <f>Histórico!E78</f>
        <v>6619970.102307762</v>
      </c>
      <c r="F118" s="94">
        <f>Histórico!F78</f>
        <v>8982642.6926807966</v>
      </c>
      <c r="G118" s="94">
        <f>Histórico!G78</f>
        <v>9661232.8591718487</v>
      </c>
      <c r="H118" s="94">
        <f>Histórico!H78</f>
        <v>11204696.864246342</v>
      </c>
      <c r="I118" s="107">
        <f>-I144*I136/360</f>
        <v>13244238.399872292</v>
      </c>
      <c r="J118" s="107">
        <f t="shared" ref="J118:N118" si="263">-J144*J136/360</f>
        <v>15242366.736284651</v>
      </c>
      <c r="K118" s="107">
        <f t="shared" si="263"/>
        <v>17218948.867351361</v>
      </c>
      <c r="L118" s="107">
        <f t="shared" si="263"/>
        <v>19337735.086808007</v>
      </c>
      <c r="M118" s="107">
        <f t="shared" si="263"/>
        <v>21465273.181122601</v>
      </c>
      <c r="N118" s="107">
        <f t="shared" si="263"/>
        <v>23407145.217970427</v>
      </c>
      <c r="O118" s="107">
        <f t="shared" ref="O118:P118" si="264">-O144*O136/360</f>
        <v>25216840.474152919</v>
      </c>
      <c r="P118" s="107">
        <f t="shared" si="264"/>
        <v>26930503.192935292</v>
      </c>
    </row>
    <row r="119" spans="1:16" s="4" customFormat="1" ht="14.4" x14ac:dyDescent="0.3">
      <c r="A119" s="10"/>
      <c r="B119" s="10"/>
      <c r="C119" s="19" t="s">
        <v>85</v>
      </c>
      <c r="D119" s="17" t="s">
        <v>6</v>
      </c>
      <c r="E119" s="94">
        <f>Histórico!E79</f>
        <v>19031298.097500034</v>
      </c>
      <c r="F119" s="94">
        <f>Histórico!F79</f>
        <v>47650036.896060012</v>
      </c>
      <c r="G119" s="94">
        <f>Histórico!G79</f>
        <v>35367767.470174141</v>
      </c>
      <c r="H119" s="94">
        <f>Histórico!H79</f>
        <v>30885168.518324215</v>
      </c>
      <c r="I119" s="153">
        <f>H119</f>
        <v>30885168.518324215</v>
      </c>
      <c r="J119" s="153">
        <f t="shared" ref="J119:N119" si="265">I119</f>
        <v>30885168.518324215</v>
      </c>
      <c r="K119" s="153">
        <f t="shared" si="265"/>
        <v>30885168.518324215</v>
      </c>
      <c r="L119" s="153">
        <f t="shared" si="265"/>
        <v>30885168.518324215</v>
      </c>
      <c r="M119" s="153">
        <f t="shared" si="265"/>
        <v>30885168.518324215</v>
      </c>
      <c r="N119" s="153">
        <f t="shared" si="265"/>
        <v>30885168.518324215</v>
      </c>
      <c r="O119" s="153">
        <f t="shared" ref="O119:O120" si="266">N119</f>
        <v>30885168.518324215</v>
      </c>
      <c r="P119" s="153">
        <f t="shared" ref="P119:P120" si="267">O119</f>
        <v>30885168.518324215</v>
      </c>
    </row>
    <row r="120" spans="1:16" s="4" customFormat="1" ht="14.4" x14ac:dyDescent="0.3">
      <c r="A120" s="10"/>
      <c r="B120" s="10"/>
      <c r="C120" s="19" t="s">
        <v>27</v>
      </c>
      <c r="D120" s="17" t="s">
        <v>6</v>
      </c>
      <c r="E120" s="94">
        <f>Histórico!E80</f>
        <v>200354</v>
      </c>
      <c r="F120" s="94">
        <f>Histórico!F80</f>
        <v>289023</v>
      </c>
      <c r="G120" s="94">
        <f>Histórico!G80</f>
        <v>271000</v>
      </c>
      <c r="H120" s="94">
        <f>Histórico!H80</f>
        <v>271925</v>
      </c>
      <c r="I120" s="153">
        <f>H120</f>
        <v>271925</v>
      </c>
      <c r="J120" s="153">
        <f t="shared" ref="J120:N120" si="268">I120</f>
        <v>271925</v>
      </c>
      <c r="K120" s="153">
        <f t="shared" si="268"/>
        <v>271925</v>
      </c>
      <c r="L120" s="153">
        <f t="shared" si="268"/>
        <v>271925</v>
      </c>
      <c r="M120" s="153">
        <f t="shared" si="268"/>
        <v>271925</v>
      </c>
      <c r="N120" s="153">
        <f t="shared" si="268"/>
        <v>271925</v>
      </c>
      <c r="O120" s="153">
        <f t="shared" si="266"/>
        <v>271925</v>
      </c>
      <c r="P120" s="153">
        <f t="shared" si="267"/>
        <v>271925</v>
      </c>
    </row>
    <row r="121" spans="1:16" s="4" customFormat="1" ht="14.4" x14ac:dyDescent="0.3">
      <c r="A121" s="10"/>
      <c r="B121" s="10"/>
      <c r="C121" s="15"/>
      <c r="D121" s="27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</row>
    <row r="122" spans="1:16" s="4" customFormat="1" ht="14.4" x14ac:dyDescent="0.3">
      <c r="A122" s="10"/>
      <c r="B122" s="10"/>
      <c r="C122" s="47" t="s">
        <v>86</v>
      </c>
      <c r="D122" s="21" t="s">
        <v>6</v>
      </c>
      <c r="E122" s="95">
        <f>E123</f>
        <v>2114588.6775000021</v>
      </c>
      <c r="F122" s="95">
        <f t="shared" ref="F122:P122" si="269">F123</f>
        <v>2507896.6787400022</v>
      </c>
      <c r="G122" s="95">
        <f t="shared" si="269"/>
        <v>6241370.7300307304</v>
      </c>
      <c r="H122" s="95">
        <f t="shared" si="269"/>
        <v>3431685.3909249119</v>
      </c>
      <c r="I122" s="95">
        <f t="shared" si="269"/>
        <v>3431685.3909249119</v>
      </c>
      <c r="J122" s="95">
        <f t="shared" si="269"/>
        <v>3431685.3909249119</v>
      </c>
      <c r="K122" s="95">
        <f t="shared" si="269"/>
        <v>3431685.3909249119</v>
      </c>
      <c r="L122" s="95">
        <f t="shared" si="269"/>
        <v>3431685.3909249119</v>
      </c>
      <c r="M122" s="95">
        <f t="shared" si="269"/>
        <v>3431685.3909249119</v>
      </c>
      <c r="N122" s="95">
        <f t="shared" si="269"/>
        <v>3431685.3909249119</v>
      </c>
      <c r="O122" s="95">
        <f t="shared" si="269"/>
        <v>3431685.3909249119</v>
      </c>
      <c r="P122" s="95">
        <f t="shared" si="269"/>
        <v>3431685.3909249119</v>
      </c>
    </row>
    <row r="123" spans="1:16" s="4" customFormat="1" ht="14.4" x14ac:dyDescent="0.3">
      <c r="A123" s="10"/>
      <c r="B123" s="10"/>
      <c r="C123" s="19" t="s">
        <v>85</v>
      </c>
      <c r="D123" s="17" t="s">
        <v>6</v>
      </c>
      <c r="E123" s="94">
        <f>Histórico!E83</f>
        <v>2114588.6775000021</v>
      </c>
      <c r="F123" s="94">
        <f>Histórico!F83</f>
        <v>2507896.6787400022</v>
      </c>
      <c r="G123" s="94">
        <f>Histórico!G83</f>
        <v>6241370.7300307304</v>
      </c>
      <c r="H123" s="94">
        <f>Histórico!H83</f>
        <v>3431685.3909249119</v>
      </c>
      <c r="I123" s="153">
        <f>H123</f>
        <v>3431685.3909249119</v>
      </c>
      <c r="J123" s="153">
        <f t="shared" ref="J123:N123" si="270">I123</f>
        <v>3431685.3909249119</v>
      </c>
      <c r="K123" s="153">
        <f t="shared" si="270"/>
        <v>3431685.3909249119</v>
      </c>
      <c r="L123" s="153">
        <f t="shared" si="270"/>
        <v>3431685.3909249119</v>
      </c>
      <c r="M123" s="153">
        <f t="shared" si="270"/>
        <v>3431685.3909249119</v>
      </c>
      <c r="N123" s="153">
        <f t="shared" si="270"/>
        <v>3431685.3909249119</v>
      </c>
      <c r="O123" s="153">
        <f t="shared" ref="O123" si="271">N123</f>
        <v>3431685.3909249119</v>
      </c>
      <c r="P123" s="153">
        <f t="shared" ref="P123" si="272">O123</f>
        <v>3431685.3909249119</v>
      </c>
    </row>
    <row r="124" spans="1:16" s="4" customFormat="1" ht="14.4" x14ac:dyDescent="0.3">
      <c r="A124" s="10"/>
      <c r="B124" s="10"/>
      <c r="C124" s="15"/>
      <c r="D124" s="27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</row>
    <row r="125" spans="1:16" s="4" customFormat="1" ht="14.4" x14ac:dyDescent="0.3">
      <c r="A125" s="10"/>
      <c r="B125" s="10"/>
      <c r="C125" s="47" t="s">
        <v>87</v>
      </c>
      <c r="D125" s="21" t="s">
        <v>6</v>
      </c>
      <c r="E125" s="95">
        <f>E126+E127</f>
        <v>51123098.977775559</v>
      </c>
      <c r="F125" s="95">
        <f t="shared" ref="F125:N125" si="273">F126+F127</f>
        <v>59084335.25446441</v>
      </c>
      <c r="G125" s="95">
        <f t="shared" si="273"/>
        <v>65089922.419171423</v>
      </c>
      <c r="H125" s="95">
        <f t="shared" si="273"/>
        <v>77723992.090703368</v>
      </c>
      <c r="I125" s="95">
        <f t="shared" si="273"/>
        <v>107393355.69067791</v>
      </c>
      <c r="J125" s="95">
        <f t="shared" si="273"/>
        <v>142388880.40222341</v>
      </c>
      <c r="K125" s="95">
        <f t="shared" si="273"/>
        <v>182517106.96630466</v>
      </c>
      <c r="L125" s="95">
        <f t="shared" si="273"/>
        <v>228292543.93742067</v>
      </c>
      <c r="M125" s="95">
        <f t="shared" si="273"/>
        <v>281567938.14910913</v>
      </c>
      <c r="N125" s="95">
        <f t="shared" si="273"/>
        <v>340873268.10515159</v>
      </c>
      <c r="O125" s="95">
        <f t="shared" ref="O125:P125" si="274">O126+O127</f>
        <v>404694339.23121905</v>
      </c>
      <c r="P125" s="95">
        <f t="shared" si="274"/>
        <v>472442052.86527359</v>
      </c>
    </row>
    <row r="126" spans="1:16" s="4" customFormat="1" ht="14.4" x14ac:dyDescent="0.3">
      <c r="A126" s="10"/>
      <c r="B126" s="10"/>
      <c r="C126" s="19" t="s">
        <v>88</v>
      </c>
      <c r="D126" s="17" t="s">
        <v>6</v>
      </c>
      <c r="E126" s="94">
        <f>Histórico!E86</f>
        <v>40000000</v>
      </c>
      <c r="F126" s="94">
        <f>Histórico!F86</f>
        <v>40000000</v>
      </c>
      <c r="G126" s="94">
        <f>Histórico!G86</f>
        <v>40000000</v>
      </c>
      <c r="H126" s="94">
        <f>Histórico!H86</f>
        <v>40000000</v>
      </c>
      <c r="I126" s="153">
        <f>H126</f>
        <v>40000000</v>
      </c>
      <c r="J126" s="153">
        <f t="shared" ref="J126:N126" si="275">I126</f>
        <v>40000000</v>
      </c>
      <c r="K126" s="153">
        <f t="shared" si="275"/>
        <v>40000000</v>
      </c>
      <c r="L126" s="153">
        <f t="shared" si="275"/>
        <v>40000000</v>
      </c>
      <c r="M126" s="153">
        <f t="shared" si="275"/>
        <v>40000000</v>
      </c>
      <c r="N126" s="153">
        <f t="shared" si="275"/>
        <v>40000000</v>
      </c>
      <c r="O126" s="153">
        <f t="shared" ref="O126" si="276">N126</f>
        <v>40000000</v>
      </c>
      <c r="P126" s="153">
        <f t="shared" ref="P126" si="277">O126</f>
        <v>40000000</v>
      </c>
    </row>
    <row r="127" spans="1:16" s="4" customFormat="1" ht="14.4" x14ac:dyDescent="0.3">
      <c r="A127" s="10"/>
      <c r="B127" s="10"/>
      <c r="C127" s="19" t="s">
        <v>89</v>
      </c>
      <c r="D127" s="17" t="s">
        <v>6</v>
      </c>
      <c r="E127" s="94">
        <f>Histórico!E87</f>
        <v>11123098.977775561</v>
      </c>
      <c r="F127" s="94">
        <f>Histórico!F87</f>
        <v>19084335.25446441</v>
      </c>
      <c r="G127" s="94">
        <f>Histórico!G87</f>
        <v>25089922.419171423</v>
      </c>
      <c r="H127" s="94">
        <f>Histórico!H87</f>
        <v>37723992.090703368</v>
      </c>
      <c r="I127" s="107">
        <f t="shared" ref="I127:P127" si="278">H127+I93</f>
        <v>67393355.690677911</v>
      </c>
      <c r="J127" s="107">
        <f t="shared" si="278"/>
        <v>102388880.40222339</v>
      </c>
      <c r="K127" s="107">
        <f t="shared" si="278"/>
        <v>142517106.96630466</v>
      </c>
      <c r="L127" s="107">
        <f t="shared" si="278"/>
        <v>188292543.93742067</v>
      </c>
      <c r="M127" s="107">
        <f t="shared" si="278"/>
        <v>241567938.14910915</v>
      </c>
      <c r="N127" s="107">
        <f t="shared" si="278"/>
        <v>300873268.10515159</v>
      </c>
      <c r="O127" s="107">
        <f t="shared" si="278"/>
        <v>364694339.23121905</v>
      </c>
      <c r="P127" s="107">
        <f t="shared" si="278"/>
        <v>432442052.86527359</v>
      </c>
    </row>
    <row r="128" spans="1:16" s="4" customFormat="1" ht="14.4" x14ac:dyDescent="0.3">
      <c r="A128" s="10"/>
      <c r="B128" s="10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</row>
    <row r="129" spans="1:16" s="4" customFormat="1" ht="14.4" x14ac:dyDescent="0.3">
      <c r="A129" s="10"/>
      <c r="B129" s="10"/>
      <c r="C129" s="46" t="s">
        <v>26</v>
      </c>
      <c r="D129" s="45"/>
      <c r="E129" s="45">
        <f>E101-E114</f>
        <v>0</v>
      </c>
      <c r="F129" s="45">
        <f t="shared" ref="F129:N129" si="279">F101-F114</f>
        <v>0</v>
      </c>
      <c r="G129" s="45">
        <f t="shared" si="279"/>
        <v>0</v>
      </c>
      <c r="H129" s="45">
        <f t="shared" si="279"/>
        <v>0</v>
      </c>
      <c r="I129" s="45">
        <f t="shared" si="279"/>
        <v>0</v>
      </c>
      <c r="J129" s="45">
        <f t="shared" si="279"/>
        <v>0</v>
      </c>
      <c r="K129" s="45">
        <f t="shared" si="279"/>
        <v>0</v>
      </c>
      <c r="L129" s="45">
        <f t="shared" si="279"/>
        <v>0</v>
      </c>
      <c r="M129" s="45">
        <f t="shared" si="279"/>
        <v>0</v>
      </c>
      <c r="N129" s="45">
        <f t="shared" si="279"/>
        <v>0</v>
      </c>
      <c r="O129" s="45">
        <f t="shared" ref="O129:P129" si="280">O101-O114</f>
        <v>0</v>
      </c>
      <c r="P129" s="45">
        <f t="shared" si="280"/>
        <v>0</v>
      </c>
    </row>
    <row r="130" spans="1:16" s="4" customFormat="1" ht="14.4" x14ac:dyDescent="0.3">
      <c r="A130" s="10"/>
      <c r="B130" s="10"/>
      <c r="E130" s="44"/>
      <c r="F130" s="44"/>
      <c r="G130" s="44"/>
      <c r="H130" s="44"/>
      <c r="I130" s="74"/>
      <c r="J130" s="74"/>
      <c r="K130" s="74"/>
      <c r="L130" s="74"/>
      <c r="M130" s="74"/>
      <c r="N130" s="74"/>
      <c r="O130" s="74"/>
      <c r="P130" s="74"/>
    </row>
    <row r="131" spans="1:16" s="4" customFormat="1" ht="14.4" x14ac:dyDescent="0.3">
      <c r="A131" s="10"/>
      <c r="B131" s="10"/>
      <c r="C131" s="175" t="s">
        <v>25</v>
      </c>
      <c r="D131" s="179" t="s">
        <v>115</v>
      </c>
      <c r="E131" s="180"/>
      <c r="F131" s="180"/>
      <c r="G131" s="180"/>
      <c r="H131" s="180"/>
      <c r="I131" s="180"/>
      <c r="J131" s="181"/>
      <c r="K131" s="181"/>
      <c r="L131" s="181"/>
      <c r="M131" s="181"/>
      <c r="N131" s="181"/>
      <c r="O131" s="181"/>
      <c r="P131" s="181"/>
    </row>
    <row r="132" spans="1:16" s="4" customFormat="1" ht="14.4" x14ac:dyDescent="0.3">
      <c r="A132" s="10"/>
      <c r="B132" s="10"/>
      <c r="C132" s="41" t="s">
        <v>111</v>
      </c>
      <c r="D132" s="42" t="s">
        <v>116</v>
      </c>
      <c r="E132" s="154">
        <f>(E104/E5)*360</f>
        <v>69</v>
      </c>
      <c r="F132" s="154">
        <f>(F104/F5)*360</f>
        <v>70.300000000000011</v>
      </c>
      <c r="G132" s="154">
        <f>(G104/G5)*360</f>
        <v>69.000000000000014</v>
      </c>
      <c r="H132" s="154">
        <f>(H104/H5)*360</f>
        <v>71</v>
      </c>
      <c r="I132" s="114">
        <f>H132</f>
        <v>71</v>
      </c>
      <c r="J132" s="114">
        <f t="shared" ref="J132:N132" si="281">I132</f>
        <v>71</v>
      </c>
      <c r="K132" s="114">
        <f t="shared" si="281"/>
        <v>71</v>
      </c>
      <c r="L132" s="114">
        <f t="shared" si="281"/>
        <v>71</v>
      </c>
      <c r="M132" s="114">
        <f t="shared" si="281"/>
        <v>71</v>
      </c>
      <c r="N132" s="114">
        <f t="shared" si="281"/>
        <v>71</v>
      </c>
      <c r="O132" s="114">
        <f t="shared" ref="O132:O136" si="282">N132</f>
        <v>71</v>
      </c>
      <c r="P132" s="114">
        <f t="shared" ref="P132:P136" si="283">O132</f>
        <v>71</v>
      </c>
    </row>
    <row r="133" spans="1:16" s="4" customFormat="1" ht="14.4" x14ac:dyDescent="0.3">
      <c r="A133" s="10"/>
      <c r="B133" s="10"/>
      <c r="C133" s="41" t="s">
        <v>31</v>
      </c>
      <c r="D133" s="42" t="s">
        <v>117</v>
      </c>
      <c r="E133" s="154">
        <f>-(E105/E26)*360</f>
        <v>58.000000000000007</v>
      </c>
      <c r="F133" s="154">
        <f>-(F105/F26)*360</f>
        <v>64</v>
      </c>
      <c r="G133" s="154">
        <f>-(G105/G26)*360</f>
        <v>62</v>
      </c>
      <c r="H133" s="154">
        <f>-(H105/H26)*360</f>
        <v>59</v>
      </c>
      <c r="I133" s="114">
        <f t="shared" ref="I133:N133" si="284">H133</f>
        <v>59</v>
      </c>
      <c r="J133" s="114">
        <f t="shared" si="284"/>
        <v>59</v>
      </c>
      <c r="K133" s="114">
        <f t="shared" si="284"/>
        <v>59</v>
      </c>
      <c r="L133" s="114">
        <f t="shared" si="284"/>
        <v>59</v>
      </c>
      <c r="M133" s="114">
        <f t="shared" si="284"/>
        <v>59</v>
      </c>
      <c r="N133" s="114">
        <f t="shared" si="284"/>
        <v>59</v>
      </c>
      <c r="O133" s="114">
        <f t="shared" si="282"/>
        <v>59</v>
      </c>
      <c r="P133" s="114">
        <f t="shared" si="283"/>
        <v>59</v>
      </c>
    </row>
    <row r="134" spans="1:16" s="4" customFormat="1" ht="14.4" x14ac:dyDescent="0.3">
      <c r="A134" s="10"/>
      <c r="B134" s="10"/>
      <c r="C134" s="41" t="s">
        <v>112</v>
      </c>
      <c r="D134" s="42" t="s">
        <v>117</v>
      </c>
      <c r="E134" s="154">
        <f>-(E116/E26)*360</f>
        <v>50</v>
      </c>
      <c r="F134" s="154">
        <f>-(F116/F26)*360</f>
        <v>48</v>
      </c>
      <c r="G134" s="154">
        <f>-(G116/G26)*360</f>
        <v>46</v>
      </c>
      <c r="H134" s="154">
        <f>-(H116/H26)*360</f>
        <v>46.999999999999993</v>
      </c>
      <c r="I134" s="114">
        <f t="shared" ref="I134:N134" si="285">H134</f>
        <v>46.999999999999993</v>
      </c>
      <c r="J134" s="114">
        <f t="shared" si="285"/>
        <v>46.999999999999993</v>
      </c>
      <c r="K134" s="114">
        <f t="shared" si="285"/>
        <v>46.999999999999993</v>
      </c>
      <c r="L134" s="114">
        <f t="shared" si="285"/>
        <v>46.999999999999993</v>
      </c>
      <c r="M134" s="114">
        <f t="shared" si="285"/>
        <v>46.999999999999993</v>
      </c>
      <c r="N134" s="114">
        <f t="shared" si="285"/>
        <v>46.999999999999993</v>
      </c>
      <c r="O134" s="114">
        <f t="shared" si="282"/>
        <v>46.999999999999993</v>
      </c>
      <c r="P134" s="114">
        <f t="shared" si="283"/>
        <v>46.999999999999993</v>
      </c>
    </row>
    <row r="135" spans="1:16" s="4" customFormat="1" ht="14.4" x14ac:dyDescent="0.3">
      <c r="A135" s="10"/>
      <c r="B135" s="10"/>
      <c r="C135" s="41" t="s">
        <v>33</v>
      </c>
      <c r="D135" s="42" t="s">
        <v>118</v>
      </c>
      <c r="E135" s="154">
        <f>-(E117/E138)*360</f>
        <v>27</v>
      </c>
      <c r="F135" s="154">
        <f t="shared" ref="F135:H135" si="286">-(F117/F138)*360</f>
        <v>28.999999999999996</v>
      </c>
      <c r="G135" s="154">
        <f t="shared" si="286"/>
        <v>35</v>
      </c>
      <c r="H135" s="154">
        <f t="shared" si="286"/>
        <v>30.000000000000004</v>
      </c>
      <c r="I135" s="114">
        <f t="shared" ref="I135:N135" si="287">H135</f>
        <v>30.000000000000004</v>
      </c>
      <c r="J135" s="114">
        <f t="shared" si="287"/>
        <v>30.000000000000004</v>
      </c>
      <c r="K135" s="114">
        <f t="shared" si="287"/>
        <v>30.000000000000004</v>
      </c>
      <c r="L135" s="114">
        <f t="shared" si="287"/>
        <v>30.000000000000004</v>
      </c>
      <c r="M135" s="114">
        <f t="shared" si="287"/>
        <v>30.000000000000004</v>
      </c>
      <c r="N135" s="114">
        <f t="shared" si="287"/>
        <v>30.000000000000004</v>
      </c>
      <c r="O135" s="114">
        <f t="shared" si="282"/>
        <v>30.000000000000004</v>
      </c>
      <c r="P135" s="114">
        <f t="shared" si="283"/>
        <v>30.000000000000004</v>
      </c>
    </row>
    <row r="136" spans="1:16" s="4" customFormat="1" ht="14.4" x14ac:dyDescent="0.3">
      <c r="A136" s="10"/>
      <c r="B136" s="10"/>
      <c r="C136" s="41" t="s">
        <v>32</v>
      </c>
      <c r="D136" s="42" t="s">
        <v>119</v>
      </c>
      <c r="E136" s="154">
        <f>-(E118/E144)*360</f>
        <v>37.999999999999993</v>
      </c>
      <c r="F136" s="154">
        <f t="shared" ref="F136:H136" si="288">-(F118/F144)*360</f>
        <v>40</v>
      </c>
      <c r="G136" s="154">
        <f t="shared" si="288"/>
        <v>39</v>
      </c>
      <c r="H136" s="154">
        <f t="shared" si="288"/>
        <v>36.999999999999993</v>
      </c>
      <c r="I136" s="114">
        <f t="shared" ref="I136:N136" si="289">H136</f>
        <v>36.999999999999993</v>
      </c>
      <c r="J136" s="114">
        <f t="shared" si="289"/>
        <v>36.999999999999993</v>
      </c>
      <c r="K136" s="114">
        <f t="shared" si="289"/>
        <v>36.999999999999993</v>
      </c>
      <c r="L136" s="114">
        <f t="shared" si="289"/>
        <v>36.999999999999993</v>
      </c>
      <c r="M136" s="114">
        <f t="shared" si="289"/>
        <v>36.999999999999993</v>
      </c>
      <c r="N136" s="114">
        <f t="shared" si="289"/>
        <v>36.999999999999993</v>
      </c>
      <c r="O136" s="114">
        <f t="shared" si="282"/>
        <v>36.999999999999993</v>
      </c>
      <c r="P136" s="114">
        <f t="shared" si="283"/>
        <v>36.999999999999993</v>
      </c>
    </row>
    <row r="137" spans="1:16" s="4" customFormat="1" ht="14.4" x14ac:dyDescent="0.3">
      <c r="A137" s="10"/>
      <c r="B137" s="10"/>
      <c r="C137" s="41"/>
      <c r="E137" s="44"/>
      <c r="F137" s="44"/>
      <c r="G137" s="44"/>
      <c r="H137" s="44"/>
      <c r="I137" s="74"/>
      <c r="J137" s="74"/>
      <c r="K137" s="74"/>
      <c r="L137" s="74"/>
      <c r="M137" s="74"/>
      <c r="N137" s="74"/>
      <c r="O137" s="74"/>
      <c r="P137" s="74"/>
    </row>
    <row r="138" spans="1:16" s="18" customFormat="1" ht="14.4" x14ac:dyDescent="0.3">
      <c r="A138" s="20"/>
      <c r="B138" s="20"/>
      <c r="C138" s="182" t="s">
        <v>108</v>
      </c>
      <c r="D138" s="43" t="s">
        <v>6</v>
      </c>
      <c r="E138" s="104">
        <f>E139+E140+E141+E142</f>
        <v>-14891000</v>
      </c>
      <c r="F138" s="104">
        <f t="shared" ref="F138:P138" si="290">F139+F140+F141+F142</f>
        <v>-17413432</v>
      </c>
      <c r="G138" s="104">
        <f t="shared" si="290"/>
        <v>-18501175.335500002</v>
      </c>
      <c r="H138" s="104">
        <f t="shared" si="290"/>
        <v>-21285693.256356001</v>
      </c>
      <c r="I138" s="104">
        <f t="shared" si="290"/>
        <v>-23623702.805805441</v>
      </c>
      <c r="J138" s="104">
        <f t="shared" si="290"/>
        <v>-26114696.010000668</v>
      </c>
      <c r="K138" s="104">
        <f t="shared" si="290"/>
        <v>-28785557.339332875</v>
      </c>
      <c r="L138" s="104">
        <f t="shared" si="290"/>
        <v>-31377534.404661141</v>
      </c>
      <c r="M138" s="104">
        <f t="shared" si="290"/>
        <v>-33887847.767189912</v>
      </c>
      <c r="N138" s="104">
        <f t="shared" si="290"/>
        <v>-36321048.04818543</v>
      </c>
      <c r="O138" s="104">
        <f t="shared" si="290"/>
        <v>-38557824.979665786</v>
      </c>
      <c r="P138" s="104">
        <f t="shared" si="290"/>
        <v>-41156442.534944899</v>
      </c>
    </row>
    <row r="139" spans="1:16" s="4" customFormat="1" ht="14.4" x14ac:dyDescent="0.3">
      <c r="A139" s="10"/>
      <c r="B139" s="10"/>
      <c r="C139" s="155" t="s">
        <v>109</v>
      </c>
      <c r="D139" s="42" t="s">
        <v>6</v>
      </c>
      <c r="E139" s="105">
        <f t="shared" ref="E139:P139" si="291">E28</f>
        <v>-6020000</v>
      </c>
      <c r="F139" s="105">
        <f t="shared" si="291"/>
        <v>-7680750</v>
      </c>
      <c r="G139" s="105">
        <f t="shared" si="291"/>
        <v>-8026018</v>
      </c>
      <c r="H139" s="105">
        <f t="shared" si="291"/>
        <v>-9745335.5999999996</v>
      </c>
      <c r="I139" s="105">
        <f t="shared" si="291"/>
        <v>-11215123.920000002</v>
      </c>
      <c r="J139" s="105">
        <f t="shared" si="291"/>
        <v>-12786902.768640002</v>
      </c>
      <c r="K139" s="105">
        <f t="shared" si="291"/>
        <v>-14286771.904204804</v>
      </c>
      <c r="L139" s="105">
        <f t="shared" si="291"/>
        <v>-15932895.560085511</v>
      </c>
      <c r="M139" s="105">
        <f t="shared" si="291"/>
        <v>-17444885.297107115</v>
      </c>
      <c r="N139" s="105">
        <f t="shared" si="291"/>
        <v>-18799658.00486017</v>
      </c>
      <c r="O139" s="105">
        <f t="shared" si="291"/>
        <v>-20129784.345419094</v>
      </c>
      <c r="P139" s="105">
        <f t="shared" si="291"/>
        <v>-21536241.340414956</v>
      </c>
    </row>
    <row r="140" spans="1:16" s="4" customFormat="1" ht="14.4" x14ac:dyDescent="0.3">
      <c r="A140" s="10"/>
      <c r="B140" s="10"/>
      <c r="C140" s="155" t="s">
        <v>42</v>
      </c>
      <c r="D140" s="42" t="s">
        <v>6</v>
      </c>
      <c r="E140" s="105">
        <f t="shared" ref="E140:P140" si="292">E43</f>
        <v>-2448000</v>
      </c>
      <c r="F140" s="105">
        <f t="shared" si="292"/>
        <v>-3144592</v>
      </c>
      <c r="G140" s="105">
        <f t="shared" si="292"/>
        <v>-3428891.7039999999</v>
      </c>
      <c r="H140" s="105">
        <f t="shared" si="292"/>
        <v>-3987875.5928759994</v>
      </c>
      <c r="I140" s="105">
        <f t="shared" si="292"/>
        <v>-4553997.5397862401</v>
      </c>
      <c r="J140" s="105">
        <f t="shared" si="292"/>
        <v>-5159028.6415006975</v>
      </c>
      <c r="K140" s="105">
        <f t="shared" si="292"/>
        <v>-5805175.8352886541</v>
      </c>
      <c r="L140" s="105">
        <f t="shared" si="292"/>
        <v>-6403284.8607426379</v>
      </c>
      <c r="M140" s="105">
        <f t="shared" si="292"/>
        <v>-7039954.3268964775</v>
      </c>
      <c r="N140" s="105">
        <f t="shared" si="292"/>
        <v>-7519432.2972688861</v>
      </c>
      <c r="O140" s="105">
        <f t="shared" si="292"/>
        <v>-8026004.5783480536</v>
      </c>
      <c r="P140" s="105">
        <f t="shared" si="292"/>
        <v>-8561071.5502379239</v>
      </c>
    </row>
    <row r="141" spans="1:16" s="4" customFormat="1" ht="14.4" x14ac:dyDescent="0.3">
      <c r="A141" s="10"/>
      <c r="B141" s="10"/>
      <c r="C141" s="155" t="s">
        <v>110</v>
      </c>
      <c r="D141" s="42" t="s">
        <v>6</v>
      </c>
      <c r="E141" s="105">
        <f t="shared" ref="E141:P141" si="293">E58</f>
        <v>-4743000</v>
      </c>
      <c r="F141" s="105">
        <f t="shared" si="293"/>
        <v>-4824090</v>
      </c>
      <c r="G141" s="105">
        <f t="shared" si="293"/>
        <v>-5211705.6315000001</v>
      </c>
      <c r="H141" s="105">
        <f t="shared" si="293"/>
        <v>-5635366.8634800008</v>
      </c>
      <c r="I141" s="105">
        <f t="shared" si="293"/>
        <v>-5860781.5380192008</v>
      </c>
      <c r="J141" s="105">
        <f t="shared" si="293"/>
        <v>-6095212.7995399693</v>
      </c>
      <c r="K141" s="105">
        <f t="shared" si="293"/>
        <v>-6537115.7275066171</v>
      </c>
      <c r="L141" s="105">
        <f t="shared" si="293"/>
        <v>-6798600.3566068821</v>
      </c>
      <c r="M141" s="105">
        <f t="shared" si="293"/>
        <v>-7070544.3708711583</v>
      </c>
      <c r="N141" s="105">
        <f t="shared" si="293"/>
        <v>-7576195.4228486111</v>
      </c>
      <c r="O141" s="105">
        <f t="shared" si="293"/>
        <v>-7879243.2397625558</v>
      </c>
      <c r="P141" s="105">
        <f t="shared" si="293"/>
        <v>-8435425.1155105028</v>
      </c>
    </row>
    <row r="142" spans="1:16" s="4" customFormat="1" ht="14.4" x14ac:dyDescent="0.3">
      <c r="A142" s="10"/>
      <c r="B142" s="10"/>
      <c r="C142" s="155" t="s">
        <v>139</v>
      </c>
      <c r="D142" s="42" t="s">
        <v>6</v>
      </c>
      <c r="E142" s="105">
        <f t="shared" ref="E142:P142" si="294">E63</f>
        <v>-1680000</v>
      </c>
      <c r="F142" s="105">
        <f t="shared" si="294"/>
        <v>-1764000</v>
      </c>
      <c r="G142" s="105">
        <f t="shared" si="294"/>
        <v>-1834560</v>
      </c>
      <c r="H142" s="105">
        <f t="shared" si="294"/>
        <v>-1917115.2</v>
      </c>
      <c r="I142" s="105">
        <f t="shared" si="294"/>
        <v>-1993799.808</v>
      </c>
      <c r="J142" s="105">
        <f t="shared" si="294"/>
        <v>-2073551.8003199999</v>
      </c>
      <c r="K142" s="105">
        <f t="shared" si="294"/>
        <v>-2156493.8723328002</v>
      </c>
      <c r="L142" s="105">
        <f t="shared" si="294"/>
        <v>-2242753.6272261124</v>
      </c>
      <c r="M142" s="105">
        <f t="shared" si="294"/>
        <v>-2332463.7723151571</v>
      </c>
      <c r="N142" s="105">
        <f t="shared" si="294"/>
        <v>-2425762.3232077635</v>
      </c>
      <c r="O142" s="105">
        <f t="shared" si="294"/>
        <v>-2522792.8161360743</v>
      </c>
      <c r="P142" s="105">
        <f t="shared" si="294"/>
        <v>-2623704.5287815174</v>
      </c>
    </row>
    <row r="143" spans="1:16" s="4" customFormat="1" ht="14.4" x14ac:dyDescent="0.3">
      <c r="A143" s="10"/>
      <c r="B143" s="10"/>
      <c r="C143" s="41"/>
      <c r="E143" s="44"/>
      <c r="F143" s="44"/>
      <c r="G143" s="44"/>
      <c r="H143" s="44"/>
      <c r="I143" s="74"/>
      <c r="J143" s="74"/>
      <c r="K143" s="74"/>
      <c r="L143" s="74"/>
      <c r="M143" s="74"/>
      <c r="N143" s="74"/>
      <c r="O143" s="74"/>
      <c r="P143" s="74"/>
    </row>
    <row r="144" spans="1:16" s="18" customFormat="1" ht="14.4" x14ac:dyDescent="0.3">
      <c r="A144" s="20"/>
      <c r="B144" s="20"/>
      <c r="C144" s="182" t="s">
        <v>113</v>
      </c>
      <c r="D144" s="43" t="s">
        <v>6</v>
      </c>
      <c r="E144" s="104">
        <f>E145+E146</f>
        <v>-62715506.232389331</v>
      </c>
      <c r="F144" s="104">
        <f t="shared" ref="F144:N144" si="295">F145+F146</f>
        <v>-80843784.234127179</v>
      </c>
      <c r="G144" s="104">
        <f t="shared" si="295"/>
        <v>-89180611.00774014</v>
      </c>
      <c r="H144" s="104">
        <f t="shared" si="295"/>
        <v>-109018672.19266713</v>
      </c>
      <c r="I144" s="104">
        <f t="shared" si="295"/>
        <v>-128862860.10686558</v>
      </c>
      <c r="J144" s="104">
        <f t="shared" si="295"/>
        <v>-148304108.7854723</v>
      </c>
      <c r="K144" s="104">
        <f t="shared" si="295"/>
        <v>-167535718.70936462</v>
      </c>
      <c r="L144" s="104">
        <f t="shared" si="295"/>
        <v>-188150935.97975364</v>
      </c>
      <c r="M144" s="104">
        <f t="shared" si="295"/>
        <v>-208851306.62713888</v>
      </c>
      <c r="N144" s="104">
        <f t="shared" si="295"/>
        <v>-227745196.71538797</v>
      </c>
      <c r="O144" s="104">
        <f t="shared" ref="O144:P144" si="296">O145+O146</f>
        <v>-245353042.45121765</v>
      </c>
      <c r="P144" s="104">
        <f t="shared" si="296"/>
        <v>-262026517.55288398</v>
      </c>
    </row>
    <row r="145" spans="1:16" s="4" customFormat="1" ht="14.4" x14ac:dyDescent="0.3">
      <c r="A145" s="10"/>
      <c r="B145" s="10"/>
      <c r="C145" s="155" t="s">
        <v>114</v>
      </c>
      <c r="D145" s="42" t="s">
        <v>6</v>
      </c>
      <c r="E145" s="105">
        <f t="shared" ref="E145:P145" si="297">E15</f>
        <v>-58449748.5</v>
      </c>
      <c r="F145" s="105">
        <f t="shared" si="297"/>
        <v>-74580398.006400019</v>
      </c>
      <c r="G145" s="105">
        <f t="shared" si="297"/>
        <v>-81334410.273792014</v>
      </c>
      <c r="H145" s="105">
        <f t="shared" si="297"/>
        <v>-97972878.312036023</v>
      </c>
      <c r="I145" s="105">
        <f t="shared" si="297"/>
        <v>-113578642.49475747</v>
      </c>
      <c r="J145" s="105">
        <f t="shared" si="297"/>
        <v>-130276111.20679736</v>
      </c>
      <c r="K145" s="105">
        <f t="shared" si="297"/>
        <v>-146863601.99453488</v>
      </c>
      <c r="L145" s="105">
        <f t="shared" si="297"/>
        <v>-164569650.26736054</v>
      </c>
      <c r="M145" s="105">
        <f t="shared" si="297"/>
        <v>-181406406.5786933</v>
      </c>
      <c r="N145" s="105">
        <f t="shared" si="297"/>
        <v>-197193966.13197216</v>
      </c>
      <c r="O145" s="105">
        <f t="shared" si="297"/>
        <v>-212475520.96203136</v>
      </c>
      <c r="P145" s="105">
        <f t="shared" si="297"/>
        <v>-227126180.22624984</v>
      </c>
    </row>
    <row r="146" spans="1:16" s="4" customFormat="1" ht="14.4" x14ac:dyDescent="0.3">
      <c r="A146" s="10"/>
      <c r="B146" s="10"/>
      <c r="C146" s="155" t="s">
        <v>69</v>
      </c>
      <c r="D146" s="42" t="s">
        <v>6</v>
      </c>
      <c r="E146" s="105">
        <f t="shared" ref="E146:P146" si="298">E90</f>
        <v>-4265757.732389329</v>
      </c>
      <c r="F146" s="105">
        <f t="shared" si="298"/>
        <v>-6263386.2277271533</v>
      </c>
      <c r="G146" s="105">
        <f t="shared" si="298"/>
        <v>-7846200.7339481274</v>
      </c>
      <c r="H146" s="105">
        <f t="shared" si="298"/>
        <v>-11045793.880631112</v>
      </c>
      <c r="I146" s="105">
        <f t="shared" si="298"/>
        <v>-15284217.612108104</v>
      </c>
      <c r="J146" s="105">
        <f t="shared" si="298"/>
        <v>-18027997.578674946</v>
      </c>
      <c r="K146" s="105">
        <f t="shared" si="298"/>
        <v>-20672116.714829743</v>
      </c>
      <c r="L146" s="105">
        <f t="shared" si="298"/>
        <v>-23581285.712393094</v>
      </c>
      <c r="M146" s="105">
        <f t="shared" si="298"/>
        <v>-27444900.04844559</v>
      </c>
      <c r="N146" s="105">
        <f t="shared" si="298"/>
        <v>-30551230.583415799</v>
      </c>
      <c r="O146" s="105">
        <f t="shared" si="298"/>
        <v>-32877521.489186272</v>
      </c>
      <c r="P146" s="105">
        <f t="shared" si="298"/>
        <v>-34900337.326634154</v>
      </c>
    </row>
    <row r="147" spans="1:16" s="4" customFormat="1" ht="14.4" x14ac:dyDescent="0.3">
      <c r="A147" s="10"/>
      <c r="B147" s="10"/>
      <c r="C147" s="41"/>
      <c r="E147" s="44"/>
      <c r="F147" s="44"/>
      <c r="G147" s="44"/>
      <c r="H147" s="44"/>
      <c r="I147" s="74"/>
      <c r="J147" s="74"/>
      <c r="K147" s="74"/>
      <c r="L147" s="74"/>
      <c r="M147" s="74"/>
      <c r="N147" s="74"/>
      <c r="O147" s="74"/>
      <c r="P147" s="74"/>
    </row>
    <row r="148" spans="1:16" s="4" customFormat="1" ht="14.4" x14ac:dyDescent="0.3">
      <c r="A148" s="10"/>
      <c r="B148" s="10"/>
      <c r="C148" s="175" t="s">
        <v>24</v>
      </c>
      <c r="D148" s="176" t="s">
        <v>6</v>
      </c>
      <c r="E148" s="177">
        <f>E151+E154</f>
        <v>0</v>
      </c>
      <c r="F148" s="177">
        <f t="shared" ref="F148:N148" si="299">F151+F154</f>
        <v>2981960.3580000042</v>
      </c>
      <c r="G148" s="177">
        <f t="shared" si="299"/>
        <v>4924544.3720460013</v>
      </c>
      <c r="H148" s="177">
        <f t="shared" si="299"/>
        <v>6196575.2094792007</v>
      </c>
      <c r="I148" s="177">
        <f t="shared" si="299"/>
        <v>7183606.4483863693</v>
      </c>
      <c r="J148" s="177">
        <f t="shared" si="299"/>
        <v>8239685.6660709428</v>
      </c>
      <c r="K148" s="177">
        <f t="shared" si="299"/>
        <v>9288809.0150389578</v>
      </c>
      <c r="L148" s="177">
        <f t="shared" si="299"/>
        <v>10408678.734858699</v>
      </c>
      <c r="M148" s="177">
        <f t="shared" si="299"/>
        <v>11473567.595575474</v>
      </c>
      <c r="N148" s="177">
        <f t="shared" si="299"/>
        <v>12472097.003218751</v>
      </c>
      <c r="O148" s="177">
        <f t="shared" ref="O148:P148" si="300">O151+O154</f>
        <v>13438622.693325061</v>
      </c>
      <c r="P148" s="177">
        <f t="shared" si="300"/>
        <v>14365245.58695939</v>
      </c>
    </row>
    <row r="149" spans="1:16" s="4" customFormat="1" ht="14.4" x14ac:dyDescent="0.3">
      <c r="A149" s="10"/>
      <c r="B149" s="40"/>
      <c r="C149" s="39" t="s">
        <v>49</v>
      </c>
      <c r="D149" s="38" t="s">
        <v>22</v>
      </c>
      <c r="E149" s="86">
        <f>E148/E$5</f>
        <v>0</v>
      </c>
      <c r="F149" s="86">
        <f t="shared" ref="F149:H149" si="301">F148/F$5</f>
        <v>9.5000000000000119E-3</v>
      </c>
      <c r="G149" s="86">
        <f t="shared" si="301"/>
        <v>1.3950000000000001E-2</v>
      </c>
      <c r="H149" s="86">
        <f t="shared" si="301"/>
        <v>1.4799999999999997E-2</v>
      </c>
      <c r="I149" s="86">
        <f t="shared" ref="I149:N149" si="302">I148/I$5</f>
        <v>1.4799999999999999E-2</v>
      </c>
      <c r="J149" s="86">
        <f t="shared" si="302"/>
        <v>1.4799999999999997E-2</v>
      </c>
      <c r="K149" s="86">
        <f t="shared" si="302"/>
        <v>1.4799999999999999E-2</v>
      </c>
      <c r="L149" s="86">
        <f t="shared" si="302"/>
        <v>1.4799999999999997E-2</v>
      </c>
      <c r="M149" s="86">
        <f t="shared" si="302"/>
        <v>1.4799999999999999E-2</v>
      </c>
      <c r="N149" s="86">
        <f t="shared" si="302"/>
        <v>1.4799999999999999E-2</v>
      </c>
      <c r="O149" s="86">
        <f t="shared" ref="O149:P149" si="303">O148/O$5</f>
        <v>1.4799999999999999E-2</v>
      </c>
      <c r="P149" s="86">
        <f t="shared" si="303"/>
        <v>1.4799999999999999E-2</v>
      </c>
    </row>
    <row r="150" spans="1:16" s="4" customFormat="1" ht="14.4" x14ac:dyDescent="0.3">
      <c r="A150" s="10"/>
      <c r="B150" s="40"/>
      <c r="C150" s="39"/>
      <c r="D150" s="38"/>
      <c r="E150" s="75"/>
      <c r="F150" s="75"/>
      <c r="G150" s="75"/>
      <c r="H150" s="75"/>
      <c r="I150" s="82"/>
      <c r="J150" s="82"/>
      <c r="K150" s="82"/>
      <c r="L150" s="82"/>
      <c r="M150" s="82"/>
      <c r="N150" s="82"/>
      <c r="O150" s="82"/>
      <c r="P150" s="82"/>
    </row>
    <row r="151" spans="1:16" s="18" customFormat="1" ht="14.4" x14ac:dyDescent="0.3">
      <c r="A151" s="20"/>
      <c r="B151" s="20"/>
      <c r="C151" s="25" t="s">
        <v>78</v>
      </c>
      <c r="D151" s="24" t="s">
        <v>6</v>
      </c>
      <c r="E151" s="81"/>
      <c r="F151" s="117">
        <f>F109-E109</f>
        <v>2793626.019600004</v>
      </c>
      <c r="G151" s="117">
        <f t="shared" ref="G151:H151" si="304">G109-F109</f>
        <v>4765688.1019800007</v>
      </c>
      <c r="H151" s="117">
        <f t="shared" si="304"/>
        <v>5903493.9495714009</v>
      </c>
      <c r="I151" s="117">
        <f>I$5*I152</f>
        <v>6843841.2785302568</v>
      </c>
      <c r="J151" s="117">
        <f t="shared" ref="J151:P151" si="305">J$5*J152</f>
        <v>7849970.8034865065</v>
      </c>
      <c r="K151" s="117">
        <f t="shared" si="305"/>
        <v>8849473.4535168447</v>
      </c>
      <c r="L151" s="117">
        <f t="shared" si="305"/>
        <v>9916376.3622640315</v>
      </c>
      <c r="M151" s="117">
        <f t="shared" si="305"/>
        <v>10930898.857946904</v>
      </c>
      <c r="N151" s="117">
        <f t="shared" si="305"/>
        <v>11882200.523336783</v>
      </c>
      <c r="O151" s="117">
        <f t="shared" si="305"/>
        <v>12803012.160532659</v>
      </c>
      <c r="P151" s="117">
        <f t="shared" si="305"/>
        <v>13685808.295684284</v>
      </c>
    </row>
    <row r="152" spans="1:16" s="4" customFormat="1" ht="14.4" x14ac:dyDescent="0.3">
      <c r="A152" s="10"/>
      <c r="B152" s="40"/>
      <c r="C152" s="58" t="s">
        <v>49</v>
      </c>
      <c r="D152" s="38" t="s">
        <v>22</v>
      </c>
      <c r="E152" s="75"/>
      <c r="F152" s="139">
        <f t="shared" ref="F152:H152" si="306">F151/F$5</f>
        <v>8.9000000000000103E-3</v>
      </c>
      <c r="G152" s="139">
        <f t="shared" si="306"/>
        <v>1.35E-2</v>
      </c>
      <c r="H152" s="139">
        <f t="shared" si="306"/>
        <v>1.4099999999999998E-2</v>
      </c>
      <c r="I152" s="113">
        <f>H152</f>
        <v>1.4099999999999998E-2</v>
      </c>
      <c r="J152" s="113">
        <f>I152</f>
        <v>1.4099999999999998E-2</v>
      </c>
      <c r="K152" s="113">
        <f t="shared" ref="K152:N152" si="307">J152</f>
        <v>1.4099999999999998E-2</v>
      </c>
      <c r="L152" s="113">
        <f t="shared" si="307"/>
        <v>1.4099999999999998E-2</v>
      </c>
      <c r="M152" s="113">
        <f t="shared" si="307"/>
        <v>1.4099999999999998E-2</v>
      </c>
      <c r="N152" s="113">
        <f t="shared" si="307"/>
        <v>1.4099999999999998E-2</v>
      </c>
      <c r="O152" s="113">
        <f t="shared" ref="O152" si="308">N152</f>
        <v>1.4099999999999998E-2</v>
      </c>
      <c r="P152" s="113">
        <f t="shared" ref="P152" si="309">O152</f>
        <v>1.4099999999999998E-2</v>
      </c>
    </row>
    <row r="153" spans="1:16" s="4" customFormat="1" ht="14.4" x14ac:dyDescent="0.3">
      <c r="A153" s="10"/>
      <c r="B153" s="40"/>
      <c r="C153" s="39"/>
      <c r="D153" s="38"/>
      <c r="E153" s="75"/>
      <c r="F153" s="75"/>
      <c r="G153" s="75"/>
      <c r="H153" s="75"/>
      <c r="I153" s="82"/>
      <c r="J153" s="82"/>
      <c r="K153" s="82"/>
      <c r="L153" s="82"/>
      <c r="M153" s="82"/>
      <c r="N153" s="82"/>
      <c r="O153" s="82"/>
      <c r="P153" s="82"/>
    </row>
    <row r="154" spans="1:16" s="18" customFormat="1" ht="14.4" x14ac:dyDescent="0.3">
      <c r="A154" s="20"/>
      <c r="B154" s="20"/>
      <c r="C154" s="25" t="s">
        <v>80</v>
      </c>
      <c r="D154" s="24" t="s">
        <v>6</v>
      </c>
      <c r="E154" s="77"/>
      <c r="F154" s="23">
        <f>F111-E111</f>
        <v>188334.33840000007</v>
      </c>
      <c r="G154" s="23">
        <f t="shared" ref="G154:H154" si="310">G111-F111</f>
        <v>158856.27006600006</v>
      </c>
      <c r="H154" s="23">
        <f t="shared" si="310"/>
        <v>293081.25990780001</v>
      </c>
      <c r="I154" s="117">
        <f>I$5*I155</f>
        <v>339765.16985611204</v>
      </c>
      <c r="J154" s="117">
        <f t="shared" ref="J154" si="311">J$5*J155</f>
        <v>389714.86258443649</v>
      </c>
      <c r="K154" s="117">
        <f t="shared" ref="K154" si="312">K$5*K155</f>
        <v>439335.56152211287</v>
      </c>
      <c r="L154" s="117">
        <f t="shared" ref="L154" si="313">L$5*L155</f>
        <v>492302.37259466818</v>
      </c>
      <c r="M154" s="117">
        <f t="shared" ref="M154" si="314">M$5*M155</f>
        <v>542668.73762856971</v>
      </c>
      <c r="N154" s="117">
        <f t="shared" ref="N154:P154" si="315">N$5*N155</f>
        <v>589896.479881968</v>
      </c>
      <c r="O154" s="117">
        <f t="shared" si="315"/>
        <v>635610.5327924015</v>
      </c>
      <c r="P154" s="117">
        <f t="shared" si="315"/>
        <v>679437.29127510625</v>
      </c>
    </row>
    <row r="155" spans="1:16" s="4" customFormat="1" ht="14.4" x14ac:dyDescent="0.3">
      <c r="A155" s="10"/>
      <c r="B155" s="40"/>
      <c r="C155" s="58" t="s">
        <v>49</v>
      </c>
      <c r="D155" s="38" t="s">
        <v>22</v>
      </c>
      <c r="E155" s="75"/>
      <c r="F155" s="139">
        <f t="shared" ref="F155:H155" si="316">F154/F$5</f>
        <v>6.0000000000000006E-4</v>
      </c>
      <c r="G155" s="139">
        <f t="shared" si="316"/>
        <v>4.5000000000000004E-4</v>
      </c>
      <c r="H155" s="139">
        <f t="shared" si="316"/>
        <v>6.9999999999999988E-4</v>
      </c>
      <c r="I155" s="113">
        <f>H155</f>
        <v>6.9999999999999988E-4</v>
      </c>
      <c r="J155" s="113">
        <f>I155</f>
        <v>6.9999999999999988E-4</v>
      </c>
      <c r="K155" s="113">
        <f t="shared" ref="K155:N155" si="317">J155</f>
        <v>6.9999999999999988E-4</v>
      </c>
      <c r="L155" s="113">
        <f t="shared" si="317"/>
        <v>6.9999999999999988E-4</v>
      </c>
      <c r="M155" s="113">
        <f t="shared" si="317"/>
        <v>6.9999999999999988E-4</v>
      </c>
      <c r="N155" s="113">
        <f t="shared" si="317"/>
        <v>6.9999999999999988E-4</v>
      </c>
      <c r="O155" s="113">
        <f t="shared" ref="O155" si="318">N155</f>
        <v>6.9999999999999988E-4</v>
      </c>
      <c r="P155" s="113">
        <f t="shared" ref="P155" si="319">O155</f>
        <v>6.9999999999999988E-4</v>
      </c>
    </row>
    <row r="156" spans="1:16" s="18" customFormat="1" ht="14.4" x14ac:dyDescent="0.3">
      <c r="A156" s="20"/>
      <c r="B156" s="20"/>
      <c r="C156" s="25"/>
      <c r="D156" s="24"/>
      <c r="E156" s="77"/>
      <c r="F156" s="77"/>
      <c r="G156" s="77"/>
      <c r="H156" s="77"/>
      <c r="I156" s="76"/>
      <c r="J156" s="76"/>
      <c r="K156" s="76"/>
      <c r="L156" s="76"/>
      <c r="M156" s="76"/>
      <c r="N156" s="76"/>
      <c r="O156" s="76"/>
      <c r="P156" s="76"/>
    </row>
    <row r="157" spans="1:16" s="18" customFormat="1" ht="14.4" x14ac:dyDescent="0.3">
      <c r="A157" s="20"/>
      <c r="B157" s="20"/>
      <c r="C157" s="178" t="s">
        <v>21</v>
      </c>
      <c r="D157" s="166" t="s">
        <v>6</v>
      </c>
      <c r="E157" s="167">
        <f t="shared" ref="E157:N157" si="320">E158+E172</f>
        <v>0</v>
      </c>
      <c r="F157" s="167">
        <f t="shared" si="320"/>
        <v>4534028.0673200013</v>
      </c>
      <c r="G157" s="167">
        <f t="shared" si="320"/>
        <v>4946712.8342455998</v>
      </c>
      <c r="H157" s="167">
        <f t="shared" si="320"/>
        <v>5525365.6898205504</v>
      </c>
      <c r="I157" s="167">
        <f t="shared" si="320"/>
        <v>6226017.0942020239</v>
      </c>
      <c r="J157" s="167">
        <f t="shared" si="320"/>
        <v>7033655.7015469177</v>
      </c>
      <c r="K157" s="167">
        <f t="shared" si="320"/>
        <v>7873196.9746966809</v>
      </c>
      <c r="L157" s="167">
        <f t="shared" si="320"/>
        <v>8777166.9848337024</v>
      </c>
      <c r="M157" s="167">
        <f t="shared" si="320"/>
        <v>6350506.5747667002</v>
      </c>
      <c r="N157" s="167">
        <f t="shared" si="320"/>
        <v>5498936.5735810595</v>
      </c>
      <c r="O157" s="167">
        <f t="shared" ref="O157" si="321">O158+O172</f>
        <v>6782799.9057979137</v>
      </c>
      <c r="P157" s="167">
        <f t="shared" ref="P157" si="322">P158+P172</f>
        <v>8155840.6686048564</v>
      </c>
    </row>
    <row r="158" spans="1:16" s="18" customFormat="1" ht="14.4" x14ac:dyDescent="0.3">
      <c r="A158" s="20"/>
      <c r="B158" s="20"/>
      <c r="C158" s="165" t="s">
        <v>120</v>
      </c>
      <c r="D158" s="166" t="s">
        <v>6</v>
      </c>
      <c r="E158" s="167"/>
      <c r="F158" s="168">
        <f>-(F110-E110)</f>
        <v>4437426.7509800009</v>
      </c>
      <c r="G158" s="168">
        <f t="shared" ref="G158:H158" si="323">-(G110-F110)</f>
        <v>4815392.4570589997</v>
      </c>
      <c r="H158" s="168">
        <f t="shared" si="323"/>
        <v>5348851.5596365705</v>
      </c>
      <c r="I158" s="169">
        <f>I160+I162</f>
        <v>5986218.3210416529</v>
      </c>
      <c r="J158" s="169">
        <f t="shared" ref="J158:N158" si="324">J160+J162</f>
        <v>6720908.9251424912</v>
      </c>
      <c r="K158" s="169">
        <f t="shared" si="324"/>
        <v>7555881.1379926596</v>
      </c>
      <c r="L158" s="169">
        <f t="shared" si="324"/>
        <v>8494173.6287817024</v>
      </c>
      <c r="M158" s="169">
        <f t="shared" si="324"/>
        <v>5964016.1076923776</v>
      </c>
      <c r="N158" s="169">
        <f t="shared" si="324"/>
        <v>5033166.1017412944</v>
      </c>
      <c r="O158" s="169">
        <f t="shared" ref="O158:P158" si="325">O160+O162</f>
        <v>6267426.735934766</v>
      </c>
      <c r="P158" s="169">
        <f t="shared" si="325"/>
        <v>7591867.7587456135</v>
      </c>
    </row>
    <row r="159" spans="1:16" s="18" customFormat="1" ht="14.4" x14ac:dyDescent="0.3">
      <c r="A159" s="20"/>
      <c r="B159" s="20"/>
      <c r="C159" s="61" t="s">
        <v>19</v>
      </c>
      <c r="D159" s="115">
        <v>0.1</v>
      </c>
      <c r="E159" s="160"/>
      <c r="F159" s="160"/>
      <c r="G159" s="160"/>
      <c r="H159" s="164"/>
      <c r="I159" s="108"/>
      <c r="J159" s="108"/>
      <c r="K159" s="108"/>
      <c r="L159" s="108"/>
      <c r="M159" s="108"/>
      <c r="N159" s="108"/>
      <c r="O159" s="108"/>
      <c r="P159" s="108"/>
    </row>
    <row r="160" spans="1:16" s="18" customFormat="1" ht="14.4" x14ac:dyDescent="0.3">
      <c r="A160" s="20"/>
      <c r="B160" s="20"/>
      <c r="C160" s="29"/>
      <c r="D160" s="34">
        <f>H109</f>
        <v>56440262.571151406</v>
      </c>
      <c r="E160" s="105"/>
      <c r="F160" s="105"/>
      <c r="G160" s="105"/>
      <c r="H160" s="161">
        <f>-H110</f>
        <v>31792652.567675572</v>
      </c>
      <c r="I160" s="141">
        <f>MIN($D160*$D159,$D160-SUM($H160:H160))</f>
        <v>5644026.2571151406</v>
      </c>
      <c r="J160" s="141">
        <f>MIN($D160*$D159,$D160-SUM($H160:I160))</f>
        <v>5644026.2571151406</v>
      </c>
      <c r="K160" s="141">
        <f>MIN($D160*$D159,$D160-SUM($H160:J160))</f>
        <v>5644026.2571151406</v>
      </c>
      <c r="L160" s="141">
        <f>MIN($D160*$D159,$D160-SUM($H160:K160))</f>
        <v>5644026.2571151406</v>
      </c>
      <c r="M160" s="141">
        <f>MIN($D160*$D159,$D160-SUM($H160:L160))</f>
        <v>2071504.9750152677</v>
      </c>
      <c r="N160" s="141">
        <f>MIN($D160*$D159,$D160-SUM($H160:M160))</f>
        <v>0</v>
      </c>
      <c r="O160" s="141">
        <f>MIN($D160*$D159,$D160-SUM($H160:N160))</f>
        <v>0</v>
      </c>
      <c r="P160" s="141">
        <f>MIN($D160*$D159,$D160-SUM($H160:O160))</f>
        <v>0</v>
      </c>
    </row>
    <row r="161" spans="1:16" s="18" customFormat="1" ht="14.4" x14ac:dyDescent="0.3">
      <c r="A161" s="20"/>
      <c r="B161" s="20"/>
      <c r="C161" s="29"/>
      <c r="D161" s="33"/>
      <c r="E161" s="143"/>
      <c r="F161" s="143"/>
      <c r="G161" s="143"/>
      <c r="H161" s="143"/>
      <c r="I161" s="141"/>
      <c r="J161" s="141"/>
      <c r="K161" s="141"/>
      <c r="L161" s="141"/>
      <c r="M161" s="141"/>
      <c r="N161" s="141"/>
      <c r="O161" s="141"/>
      <c r="P161" s="141"/>
    </row>
    <row r="162" spans="1:16" s="18" customFormat="1" ht="14.4" x14ac:dyDescent="0.3">
      <c r="A162" s="20"/>
      <c r="B162" s="20"/>
      <c r="C162" s="61" t="s">
        <v>18</v>
      </c>
      <c r="D162" s="115">
        <v>0.1</v>
      </c>
      <c r="E162" s="143"/>
      <c r="F162" s="162"/>
      <c r="G162" s="162"/>
      <c r="H162" s="162"/>
      <c r="I162" s="141">
        <f>SUM(I163:I170)</f>
        <v>342192.06392651284</v>
      </c>
      <c r="J162" s="141">
        <f t="shared" ref="J162:P162" si="326">SUM(J163:J170)</f>
        <v>1076882.6680273511</v>
      </c>
      <c r="K162" s="141">
        <f t="shared" si="326"/>
        <v>1911854.8808775186</v>
      </c>
      <c r="L162" s="141">
        <f t="shared" si="326"/>
        <v>2850147.3716665627</v>
      </c>
      <c r="M162" s="141">
        <f t="shared" si="326"/>
        <v>3892511.1326771094</v>
      </c>
      <c r="N162" s="141">
        <f t="shared" si="326"/>
        <v>5033166.1017412944</v>
      </c>
      <c r="O162" s="141">
        <f t="shared" si="326"/>
        <v>6267426.735934766</v>
      </c>
      <c r="P162" s="141">
        <f t="shared" si="326"/>
        <v>7591867.7587456135</v>
      </c>
    </row>
    <row r="163" spans="1:16" s="18" customFormat="1" ht="14.4" x14ac:dyDescent="0.3">
      <c r="A163" s="20"/>
      <c r="B163" s="20"/>
      <c r="C163" s="28" t="s">
        <v>38</v>
      </c>
      <c r="D163" s="26">
        <f t="array" ref="D163:D170">TRANSPOSE(I151:P151)</f>
        <v>6843841.2785302568</v>
      </c>
      <c r="E163" s="143"/>
      <c r="F163" s="143"/>
      <c r="G163" s="105"/>
      <c r="H163" s="98"/>
      <c r="I163" s="111">
        <f>$D163*$D$162/2</f>
        <v>342192.06392651284</v>
      </c>
      <c r="J163" s="111">
        <f>MIN($D163*$D$162,$D163-SUM($I163:I163))</f>
        <v>684384.12785302568</v>
      </c>
      <c r="K163" s="111">
        <f>MIN($D163*$D$162,$D163-SUM($I163:J163))</f>
        <v>684384.12785302568</v>
      </c>
      <c r="L163" s="111">
        <f>MIN($D163*$D$162,$D163-SUM($I163:K163))</f>
        <v>684384.12785302568</v>
      </c>
      <c r="M163" s="111">
        <f>MIN($D163*$D$162,$D163-SUM($I163:L163))</f>
        <v>684384.12785302568</v>
      </c>
      <c r="N163" s="111">
        <f>MIN($D163*$D$162,$D163-SUM($I163:M163))</f>
        <v>684384.12785302568</v>
      </c>
      <c r="O163" s="111">
        <f>MIN($D163*$D$162,$D163-SUM($I163:N163))</f>
        <v>684384.12785302568</v>
      </c>
      <c r="P163" s="111">
        <f>MIN($D163*$D$162,$D163-SUM($I163:O163))</f>
        <v>684384.12785302568</v>
      </c>
    </row>
    <row r="164" spans="1:16" s="18" customFormat="1" ht="14.4" x14ac:dyDescent="0.3">
      <c r="A164" s="20"/>
      <c r="B164" s="20"/>
      <c r="C164" s="28" t="s">
        <v>17</v>
      </c>
      <c r="D164" s="26">
        <v>7849970.8034865065</v>
      </c>
      <c r="E164" s="143"/>
      <c r="F164" s="143"/>
      <c r="G164" s="143"/>
      <c r="H164" s="105"/>
      <c r="I164" s="110"/>
      <c r="J164" s="111">
        <f>$D164*$D$162/2</f>
        <v>392498.54017432535</v>
      </c>
      <c r="K164" s="111">
        <f>MIN($D164*$D$162,$D164-SUM($I164:J164))</f>
        <v>784997.08034865069</v>
      </c>
      <c r="L164" s="111">
        <f>MIN($D164*$D$162,$D164-SUM($I164:K164))</f>
        <v>784997.08034865069</v>
      </c>
      <c r="M164" s="111">
        <f>MIN($D164*$D$162,$D164-SUM($I164:L164))</f>
        <v>784997.08034865069</v>
      </c>
      <c r="N164" s="111">
        <f>MIN($D164*$D$162,$D164-SUM($I164:M164))</f>
        <v>784997.08034865069</v>
      </c>
      <c r="O164" s="111">
        <f>MIN($D164*$D$162,$D164-SUM($I164:N164))</f>
        <v>784997.08034865069</v>
      </c>
      <c r="P164" s="111">
        <f>MIN($D164*$D$162,$D164-SUM($I164:O164))</f>
        <v>784997.08034865069</v>
      </c>
    </row>
    <row r="165" spans="1:16" s="18" customFormat="1" ht="14.4" x14ac:dyDescent="0.3">
      <c r="A165" s="20"/>
      <c r="B165" s="20"/>
      <c r="C165" s="28" t="s">
        <v>16</v>
      </c>
      <c r="D165" s="26">
        <v>8849473.4535168447</v>
      </c>
      <c r="E165" s="143"/>
      <c r="F165" s="143"/>
      <c r="G165" s="143"/>
      <c r="H165" s="143"/>
      <c r="I165" s="141"/>
      <c r="J165" s="141"/>
      <c r="K165" s="111">
        <f>$D165*$D$162/2</f>
        <v>442473.67267584224</v>
      </c>
      <c r="L165" s="111">
        <f>MIN($D165*$D$162,$D165-SUM($I165:K165))</f>
        <v>884947.34535168449</v>
      </c>
      <c r="M165" s="111">
        <f>MIN($D165*$D$162,$D165-SUM($I165:L165))</f>
        <v>884947.34535168449</v>
      </c>
      <c r="N165" s="111">
        <f>MIN($D165*$D$162,$D165-SUM($I165:M165))</f>
        <v>884947.34535168449</v>
      </c>
      <c r="O165" s="111">
        <f>MIN($D165*$D$162,$D165-SUM($I165:N165))</f>
        <v>884947.34535168449</v>
      </c>
      <c r="P165" s="111">
        <f>MIN($D165*$D$162,$D165-SUM($I165:O165))</f>
        <v>884947.34535168449</v>
      </c>
    </row>
    <row r="166" spans="1:16" s="18" customFormat="1" ht="14.4" x14ac:dyDescent="0.3">
      <c r="A166" s="20"/>
      <c r="B166" s="20"/>
      <c r="C166" s="28" t="s">
        <v>15</v>
      </c>
      <c r="D166" s="26">
        <v>9916376.3622640315</v>
      </c>
      <c r="E166" s="143"/>
      <c r="F166" s="143"/>
      <c r="G166" s="143"/>
      <c r="H166" s="143"/>
      <c r="I166" s="141"/>
      <c r="J166" s="141"/>
      <c r="K166" s="141"/>
      <c r="L166" s="111">
        <f>$D166*$D$162/2</f>
        <v>495818.81811320159</v>
      </c>
      <c r="M166" s="111">
        <f>MIN($D166*$D$162,$D166-SUM($I166:L166))</f>
        <v>991637.63622640318</v>
      </c>
      <c r="N166" s="111">
        <f>MIN($D166*$D$162,$D166-SUM($I166:M166))</f>
        <v>991637.63622640318</v>
      </c>
      <c r="O166" s="111">
        <f>MIN($D166*$D$162,$D166-SUM($I166:N166))</f>
        <v>991637.63622640318</v>
      </c>
      <c r="P166" s="111">
        <f>MIN($D166*$D$162,$D166-SUM($I166:O166))</f>
        <v>991637.63622640318</v>
      </c>
    </row>
    <row r="167" spans="1:16" s="18" customFormat="1" ht="14.4" x14ac:dyDescent="0.3">
      <c r="A167" s="20"/>
      <c r="B167" s="20"/>
      <c r="C167" s="28" t="s">
        <v>14</v>
      </c>
      <c r="D167" s="26">
        <v>10930898.857946904</v>
      </c>
      <c r="E167" s="143"/>
      <c r="F167" s="143"/>
      <c r="G167" s="143"/>
      <c r="H167" s="143"/>
      <c r="I167" s="141"/>
      <c r="J167" s="141"/>
      <c r="K167" s="141"/>
      <c r="L167" s="141"/>
      <c r="M167" s="111">
        <f>$D167*$D$162/2</f>
        <v>546544.94289734529</v>
      </c>
      <c r="N167" s="111">
        <f>MIN($D167*$D$162,$D167-SUM($I167:M167))</f>
        <v>1093089.8857946906</v>
      </c>
      <c r="O167" s="111">
        <f>MIN($D167*$D$162,$D167-SUM($I167:N167))</f>
        <v>1093089.8857946906</v>
      </c>
      <c r="P167" s="111">
        <f>MIN($D167*$D$162,$D167-SUM($I167:O167))</f>
        <v>1093089.8857946906</v>
      </c>
    </row>
    <row r="168" spans="1:16" s="18" customFormat="1" ht="14.4" x14ac:dyDescent="0.3">
      <c r="A168" s="20"/>
      <c r="B168" s="20"/>
      <c r="C168" s="28" t="s">
        <v>13</v>
      </c>
      <c r="D168" s="26">
        <v>11882200.523336783</v>
      </c>
      <c r="E168" s="143"/>
      <c r="F168" s="143"/>
      <c r="G168" s="143"/>
      <c r="H168" s="143"/>
      <c r="I168" s="141"/>
      <c r="J168" s="141"/>
      <c r="K168" s="141"/>
      <c r="L168" s="141"/>
      <c r="M168" s="141"/>
      <c r="N168" s="111">
        <f>$D168*$D$162/2</f>
        <v>594110.02616683918</v>
      </c>
      <c r="O168" s="111">
        <f>MIN($D168*$D$162,$D168-SUM($I168:N168))</f>
        <v>1188220.0523336784</v>
      </c>
      <c r="P168" s="111">
        <f>MIN($D168*$D$162,$D168-SUM($I168:O168))</f>
        <v>1188220.0523336784</v>
      </c>
    </row>
    <row r="169" spans="1:16" s="18" customFormat="1" ht="14.4" x14ac:dyDescent="0.3">
      <c r="A169" s="20"/>
      <c r="B169" s="20"/>
      <c r="C169" s="28" t="s">
        <v>43</v>
      </c>
      <c r="D169" s="26">
        <v>12803012.160532659</v>
      </c>
      <c r="E169" s="143"/>
      <c r="F169" s="143"/>
      <c r="G169" s="143"/>
      <c r="H169" s="143"/>
      <c r="I169" s="141"/>
      <c r="J169" s="141"/>
      <c r="K169" s="141"/>
      <c r="L169" s="141"/>
      <c r="M169" s="141"/>
      <c r="N169" s="141"/>
      <c r="O169" s="111">
        <f>$D169*$D$162/2</f>
        <v>640150.60802663304</v>
      </c>
      <c r="P169" s="111">
        <f>MIN($D169*$D$162,$D169-SUM($I169:O169))</f>
        <v>1280301.2160532661</v>
      </c>
    </row>
    <row r="170" spans="1:16" s="18" customFormat="1" ht="14.4" x14ac:dyDescent="0.3">
      <c r="A170" s="20"/>
      <c r="B170" s="20"/>
      <c r="C170" s="28" t="s">
        <v>124</v>
      </c>
      <c r="D170" s="26">
        <v>13685808.295684284</v>
      </c>
      <c r="E170" s="143"/>
      <c r="F170" s="143"/>
      <c r="G170" s="143"/>
      <c r="H170" s="143"/>
      <c r="I170" s="141"/>
      <c r="J170" s="141"/>
      <c r="K170" s="141"/>
      <c r="L170" s="141"/>
      <c r="M170" s="141"/>
      <c r="N170" s="141"/>
      <c r="O170" s="141"/>
      <c r="P170" s="111">
        <f>$D170*$D$162/2</f>
        <v>684290.41478421423</v>
      </c>
    </row>
    <row r="171" spans="1:16" s="18" customFormat="1" ht="14.4" x14ac:dyDescent="0.3">
      <c r="A171" s="20"/>
      <c r="B171" s="20"/>
      <c r="C171" s="32"/>
      <c r="D171" s="30"/>
      <c r="E171" s="143"/>
      <c r="F171" s="143"/>
      <c r="G171" s="143"/>
      <c r="H171" s="143"/>
      <c r="I171" s="141"/>
      <c r="J171" s="141"/>
      <c r="K171" s="141"/>
      <c r="L171" s="141"/>
      <c r="M171" s="141"/>
      <c r="N171" s="141"/>
      <c r="O171" s="141"/>
      <c r="P171" s="141"/>
    </row>
    <row r="172" spans="1:16" s="18" customFormat="1" ht="14.4" x14ac:dyDescent="0.3">
      <c r="A172" s="20"/>
      <c r="B172" s="20"/>
      <c r="C172" s="170" t="s">
        <v>20</v>
      </c>
      <c r="D172" s="16" t="s">
        <v>6</v>
      </c>
      <c r="E172" s="97"/>
      <c r="F172" s="171">
        <f>-(F112-E112)</f>
        <v>96601.316340000005</v>
      </c>
      <c r="G172" s="171">
        <f t="shared" ref="G172:H172" si="327">-(G112-F112)</f>
        <v>131320.37718660006</v>
      </c>
      <c r="H172" s="171">
        <f t="shared" si="327"/>
        <v>176514.13018398004</v>
      </c>
      <c r="I172" s="172">
        <f>I174+I176</f>
        <v>239798.77316037126</v>
      </c>
      <c r="J172" s="172">
        <f t="shared" ref="J172:N172" si="328">J174+J176</f>
        <v>312746.77640442608</v>
      </c>
      <c r="K172" s="172">
        <f t="shared" si="328"/>
        <v>317315.83670402097</v>
      </c>
      <c r="L172" s="172">
        <f t="shared" si="328"/>
        <v>282993.35605199914</v>
      </c>
      <c r="M172" s="172">
        <f t="shared" si="328"/>
        <v>386490.46707432292</v>
      </c>
      <c r="N172" s="172">
        <f t="shared" si="328"/>
        <v>465770.47183976549</v>
      </c>
      <c r="O172" s="172">
        <f t="shared" ref="O172:P172" si="329">O174+O176</f>
        <v>515373.1698631476</v>
      </c>
      <c r="P172" s="172">
        <f t="shared" si="329"/>
        <v>563972.90985924331</v>
      </c>
    </row>
    <row r="173" spans="1:16" s="18" customFormat="1" ht="14.4" x14ac:dyDescent="0.3">
      <c r="A173" s="20"/>
      <c r="B173" s="20"/>
      <c r="C173" s="61" t="s">
        <v>19</v>
      </c>
      <c r="D173" s="116">
        <v>0.2</v>
      </c>
      <c r="E173" s="160"/>
      <c r="F173" s="160"/>
      <c r="G173" s="160"/>
      <c r="H173" s="164"/>
      <c r="I173" s="108"/>
      <c r="J173" s="108"/>
      <c r="K173" s="108"/>
      <c r="L173" s="108"/>
      <c r="M173" s="108"/>
      <c r="N173" s="108"/>
      <c r="O173" s="108"/>
      <c r="P173" s="108"/>
    </row>
    <row r="174" spans="1:16" s="18" customFormat="1" ht="14.4" x14ac:dyDescent="0.3">
      <c r="A174" s="20"/>
      <c r="B174" s="20"/>
      <c r="C174" s="29"/>
      <c r="D174" s="8">
        <f>H111</f>
        <v>1029111.2808738002</v>
      </c>
      <c r="E174" s="105"/>
      <c r="F174" s="105"/>
      <c r="G174" s="105"/>
      <c r="H174" s="161">
        <f>-H112</f>
        <v>489980.49446058011</v>
      </c>
      <c r="I174" s="141">
        <f>MIN($D174*$D173,$D174-SUM($H174:H174))</f>
        <v>205822.25617476006</v>
      </c>
      <c r="J174" s="141">
        <f>MIN($D174*$D173,$D174-SUM($H174:I174))</f>
        <v>205822.25617476006</v>
      </c>
      <c r="K174" s="141">
        <f>MIN($D174*$D173,$D174-SUM($H174:J174))</f>
        <v>127486.2740637</v>
      </c>
      <c r="L174" s="141">
        <f>MIN($D174*$D173,$D174-SUM($H174:K174))</f>
        <v>0</v>
      </c>
      <c r="M174" s="141">
        <f>MIN($D174*$D173,$D174-SUM($H174:L174))</f>
        <v>0</v>
      </c>
      <c r="N174" s="141">
        <f>MIN($D174*$D173,$D174-SUM($H174:M174))</f>
        <v>0</v>
      </c>
      <c r="O174" s="141">
        <f>MIN($D174*$D173,$D174-SUM($H174:N174))</f>
        <v>0</v>
      </c>
      <c r="P174" s="141">
        <f>MIN($D174*$D173,$D174-SUM($H174:O174))</f>
        <v>0</v>
      </c>
    </row>
    <row r="175" spans="1:16" s="18" customFormat="1" ht="14.4" x14ac:dyDescent="0.3">
      <c r="A175" s="20"/>
      <c r="B175" s="20"/>
      <c r="C175" s="29"/>
      <c r="D175" s="30"/>
      <c r="E175" s="143"/>
      <c r="F175" s="143"/>
      <c r="G175" s="143"/>
      <c r="H175" s="143"/>
      <c r="I175" s="141"/>
      <c r="J175" s="141"/>
      <c r="K175" s="141"/>
      <c r="L175" s="141"/>
      <c r="M175" s="141"/>
      <c r="N175" s="141"/>
      <c r="O175" s="141"/>
      <c r="P175" s="141"/>
    </row>
    <row r="176" spans="1:16" s="18" customFormat="1" ht="14.4" x14ac:dyDescent="0.3">
      <c r="A176" s="20"/>
      <c r="B176" s="20"/>
      <c r="C176" s="61" t="s">
        <v>18</v>
      </c>
      <c r="D176" s="116">
        <v>0.2</v>
      </c>
      <c r="E176" s="143"/>
      <c r="F176" s="162"/>
      <c r="G176" s="162"/>
      <c r="H176" s="162"/>
      <c r="I176" s="141">
        <f>SUM(I177:I184)</f>
        <v>33976.516985611204</v>
      </c>
      <c r="J176" s="141">
        <f t="shared" ref="J176:P176" si="330">SUM(J177:J184)</f>
        <v>106924.52022966606</v>
      </c>
      <c r="K176" s="141">
        <f t="shared" si="330"/>
        <v>189829.562640321</v>
      </c>
      <c r="L176" s="141">
        <f t="shared" si="330"/>
        <v>282993.35605199914</v>
      </c>
      <c r="M176" s="141">
        <f t="shared" si="330"/>
        <v>386490.46707432292</v>
      </c>
      <c r="N176" s="141">
        <f t="shared" si="330"/>
        <v>465770.47183976549</v>
      </c>
      <c r="O176" s="141">
        <f t="shared" si="330"/>
        <v>515373.1698631476</v>
      </c>
      <c r="P176" s="141">
        <f t="shared" si="330"/>
        <v>563972.90985924331</v>
      </c>
    </row>
    <row r="177" spans="1:16" s="18" customFormat="1" ht="14.4" x14ac:dyDescent="0.3">
      <c r="A177" s="20"/>
      <c r="B177" s="20"/>
      <c r="C177" s="28" t="s">
        <v>38</v>
      </c>
      <c r="D177" s="26">
        <f t="array" ref="D177:D184">TRANSPOSE(I154:P154)</f>
        <v>339765.16985611204</v>
      </c>
      <c r="E177" s="143"/>
      <c r="F177" s="143"/>
      <c r="G177" s="105"/>
      <c r="H177" s="98"/>
      <c r="I177" s="111">
        <f>$D177*$D$176/2</f>
        <v>33976.516985611204</v>
      </c>
      <c r="J177" s="111">
        <f>MIN($D177*$D$176,$D177-SUM($I177:I177))</f>
        <v>67953.033971222409</v>
      </c>
      <c r="K177" s="111">
        <f>MIN($D177*$D$176,$D177-SUM($I177:J177))</f>
        <v>67953.033971222409</v>
      </c>
      <c r="L177" s="111">
        <f>MIN($D177*$D$176,$D177-SUM($I177:K177))</f>
        <v>67953.033971222409</v>
      </c>
      <c r="M177" s="111">
        <f>MIN($D177*$D$176,$D177-SUM($I177:L177))</f>
        <v>67953.033971222409</v>
      </c>
      <c r="N177" s="111">
        <f>MIN($D177*$D$176,$D177-SUM($I177:M177))</f>
        <v>33976.516985611233</v>
      </c>
      <c r="O177" s="111">
        <f>MIN($D177*$D$176,$D177-SUM($I177:N177))</f>
        <v>0</v>
      </c>
      <c r="P177" s="111">
        <f>MIN($D177*$D$176,$D177-SUM($I177:O177))</f>
        <v>0</v>
      </c>
    </row>
    <row r="178" spans="1:16" s="18" customFormat="1" ht="14.4" x14ac:dyDescent="0.3">
      <c r="A178" s="20"/>
      <c r="B178" s="20"/>
      <c r="C178" s="28" t="s">
        <v>17</v>
      </c>
      <c r="D178" s="26">
        <v>389714.86258443649</v>
      </c>
      <c r="E178" s="143"/>
      <c r="F178" s="143"/>
      <c r="G178" s="143"/>
      <c r="H178" s="105"/>
      <c r="I178" s="110"/>
      <c r="J178" s="111">
        <f>$D178*$D$176/2</f>
        <v>38971.486258443649</v>
      </c>
      <c r="K178" s="111">
        <f>MIN($D178*$D$176,$D178-SUM($I178:J178))</f>
        <v>77942.972516887297</v>
      </c>
      <c r="L178" s="111">
        <f>MIN($D178*$D$176,$D178-SUM($I178:K178))</f>
        <v>77942.972516887297</v>
      </c>
      <c r="M178" s="111">
        <f>MIN($D178*$D$176,$D178-SUM($I178:L178))</f>
        <v>77942.972516887297</v>
      </c>
      <c r="N178" s="111">
        <f>MIN($D178*$D$176,$D178-SUM($I178:M178))</f>
        <v>77942.972516887297</v>
      </c>
      <c r="O178" s="111">
        <f>MIN($D178*$D$176,$D178-SUM($I178:N178))</f>
        <v>38971.486258443678</v>
      </c>
      <c r="P178" s="111">
        <f>MIN($D178*$D$176,$D178-SUM($I178:O178))</f>
        <v>0</v>
      </c>
    </row>
    <row r="179" spans="1:16" s="18" customFormat="1" ht="14.4" x14ac:dyDescent="0.3">
      <c r="A179" s="20"/>
      <c r="B179" s="20"/>
      <c r="C179" s="28" t="s">
        <v>16</v>
      </c>
      <c r="D179" s="26">
        <v>439335.56152211287</v>
      </c>
      <c r="E179" s="143"/>
      <c r="F179" s="143"/>
      <c r="G179" s="143"/>
      <c r="H179" s="143"/>
      <c r="I179" s="141"/>
      <c r="J179" s="141"/>
      <c r="K179" s="111">
        <f>$D179*$D$176/2</f>
        <v>43933.556152211291</v>
      </c>
      <c r="L179" s="111">
        <f>MIN($D179*$D$176,$D179-SUM($I179:K179))</f>
        <v>87867.112304422582</v>
      </c>
      <c r="M179" s="111">
        <f>MIN($D179*$D$176,$D179-SUM($I179:L179))</f>
        <v>87867.112304422582</v>
      </c>
      <c r="N179" s="111">
        <f>MIN($D179*$D$176,$D179-SUM($I179:M179))</f>
        <v>87867.112304422582</v>
      </c>
      <c r="O179" s="111">
        <f>MIN($D179*$D$176,$D179-SUM($I179:N179))</f>
        <v>87867.112304422582</v>
      </c>
      <c r="P179" s="111">
        <f>MIN($D179*$D$176,$D179-SUM($I179:O179))</f>
        <v>43933.556152211211</v>
      </c>
    </row>
    <row r="180" spans="1:16" s="18" customFormat="1" ht="14.4" x14ac:dyDescent="0.3">
      <c r="A180" s="20"/>
      <c r="B180" s="20"/>
      <c r="C180" s="28" t="s">
        <v>15</v>
      </c>
      <c r="D180" s="26">
        <v>492302.37259466818</v>
      </c>
      <c r="E180" s="143"/>
      <c r="F180" s="143"/>
      <c r="G180" s="143"/>
      <c r="H180" s="143"/>
      <c r="I180" s="141"/>
      <c r="J180" s="141"/>
      <c r="K180" s="141"/>
      <c r="L180" s="111">
        <f>$D180*$D$176/2</f>
        <v>49230.23725946682</v>
      </c>
      <c r="M180" s="111">
        <f>MIN($D180*$D$176,$D180-SUM($I180:L180))</f>
        <v>98460.474518933639</v>
      </c>
      <c r="N180" s="111">
        <f>MIN($D180*$D$176,$D180-SUM($I180:M180))</f>
        <v>98460.474518933639</v>
      </c>
      <c r="O180" s="111">
        <f>MIN($D180*$D$176,$D180-SUM($I180:N180))</f>
        <v>98460.474518933639</v>
      </c>
      <c r="P180" s="111">
        <f>MIN($D180*$D$176,$D180-SUM($I180:O180))</f>
        <v>98460.474518933639</v>
      </c>
    </row>
    <row r="181" spans="1:16" s="18" customFormat="1" ht="14.4" x14ac:dyDescent="0.3">
      <c r="A181" s="20"/>
      <c r="B181" s="20"/>
      <c r="C181" s="28" t="s">
        <v>14</v>
      </c>
      <c r="D181" s="26">
        <v>542668.73762856971</v>
      </c>
      <c r="E181" s="143"/>
      <c r="F181" s="143"/>
      <c r="G181" s="143"/>
      <c r="H181" s="143"/>
      <c r="I181" s="141"/>
      <c r="J181" s="141"/>
      <c r="K181" s="141"/>
      <c r="L181" s="141"/>
      <c r="M181" s="111">
        <f>$D181*$D$176/2</f>
        <v>54266.873762856972</v>
      </c>
      <c r="N181" s="111">
        <f>MIN($D181*$D$176,$D181-SUM($I181:M181))</f>
        <v>108533.74752571394</v>
      </c>
      <c r="O181" s="111">
        <f>MIN($D181*$D$176,$D181-SUM($I181:N181))</f>
        <v>108533.74752571394</v>
      </c>
      <c r="P181" s="111">
        <f>MIN($D181*$D$176,$D181-SUM($I181:O181))</f>
        <v>108533.74752571394</v>
      </c>
    </row>
    <row r="182" spans="1:16" s="18" customFormat="1" ht="14.4" x14ac:dyDescent="0.3">
      <c r="A182" s="20"/>
      <c r="B182" s="20"/>
      <c r="C182" s="28" t="s">
        <v>13</v>
      </c>
      <c r="D182" s="26">
        <v>589896.479881968</v>
      </c>
      <c r="E182" s="143"/>
      <c r="F182" s="143"/>
      <c r="G182" s="143"/>
      <c r="H182" s="143"/>
      <c r="I182" s="141"/>
      <c r="J182" s="141"/>
      <c r="K182" s="141"/>
      <c r="L182" s="141"/>
      <c r="M182" s="141"/>
      <c r="N182" s="111">
        <f>$D182*$D$176/2</f>
        <v>58989.647988196804</v>
      </c>
      <c r="O182" s="111">
        <f>MIN($D182*$D$176,$D182-SUM($I182:N182))</f>
        <v>117979.29597639361</v>
      </c>
      <c r="P182" s="111">
        <f>MIN($D182*$D$176,$D182-SUM($I182:O182))</f>
        <v>117979.29597639361</v>
      </c>
    </row>
    <row r="183" spans="1:16" s="18" customFormat="1" ht="14.4" x14ac:dyDescent="0.3">
      <c r="A183" s="20"/>
      <c r="B183" s="20"/>
      <c r="C183" s="28" t="s">
        <v>43</v>
      </c>
      <c r="D183" s="26">
        <v>635610.5327924015</v>
      </c>
      <c r="E183" s="143"/>
      <c r="F183" s="143"/>
      <c r="G183" s="143"/>
      <c r="H183" s="143"/>
      <c r="I183" s="141"/>
      <c r="J183" s="141"/>
      <c r="K183" s="141"/>
      <c r="L183" s="141"/>
      <c r="M183" s="141"/>
      <c r="N183" s="111"/>
      <c r="O183" s="111">
        <f>$D183*$D$176/2</f>
        <v>63561.05327924015</v>
      </c>
      <c r="P183" s="111">
        <f>MIN($D183*$D$176,$D183-SUM($I183:O183))</f>
        <v>127122.1065584803</v>
      </c>
    </row>
    <row r="184" spans="1:16" s="18" customFormat="1" ht="14.4" x14ac:dyDescent="0.3">
      <c r="A184" s="20"/>
      <c r="B184" s="20"/>
      <c r="C184" s="28" t="s">
        <v>124</v>
      </c>
      <c r="D184" s="26">
        <v>679437.29127510625</v>
      </c>
      <c r="E184" s="143"/>
      <c r="F184" s="143"/>
      <c r="G184" s="143"/>
      <c r="H184" s="143"/>
      <c r="I184" s="141"/>
      <c r="J184" s="141"/>
      <c r="K184" s="141"/>
      <c r="L184" s="141"/>
      <c r="M184" s="141"/>
      <c r="N184" s="111"/>
      <c r="O184" s="111"/>
      <c r="P184" s="111">
        <f>$D184*$D$176/2</f>
        <v>67943.729127510625</v>
      </c>
    </row>
    <row r="185" spans="1:16" s="18" customFormat="1" ht="14.4" x14ac:dyDescent="0.3">
      <c r="A185" s="20"/>
      <c r="B185" s="20"/>
      <c r="C185" s="25"/>
      <c r="D185" s="24"/>
      <c r="E185" s="77"/>
      <c r="F185" s="77"/>
      <c r="G185" s="77"/>
      <c r="H185" s="77"/>
      <c r="I185" s="76"/>
      <c r="J185" s="76"/>
      <c r="K185" s="76"/>
      <c r="L185" s="76"/>
      <c r="M185" s="76"/>
      <c r="N185" s="76"/>
      <c r="O185" s="76"/>
      <c r="P185" s="76"/>
    </row>
    <row r="186" spans="1:16" s="18" customFormat="1" ht="14.4" x14ac:dyDescent="0.3">
      <c r="A186" s="20"/>
      <c r="B186" s="20"/>
      <c r="C186" s="25"/>
      <c r="D186" s="24"/>
      <c r="E186" s="77"/>
      <c r="F186" s="77"/>
      <c r="G186" s="77"/>
      <c r="H186" s="77"/>
      <c r="I186" s="76"/>
      <c r="J186" s="76"/>
      <c r="K186" s="76"/>
      <c r="L186" s="76"/>
      <c r="M186" s="76"/>
      <c r="N186" s="76"/>
      <c r="O186" s="76"/>
      <c r="P186" s="76"/>
    </row>
    <row r="187" spans="1:16" s="18" customFormat="1" ht="14.4" x14ac:dyDescent="0.3">
      <c r="A187" s="20"/>
      <c r="B187" s="20"/>
      <c r="C187" s="25"/>
      <c r="D187" s="24"/>
      <c r="E187" s="184" t="s">
        <v>122</v>
      </c>
      <c r="F187" s="184"/>
      <c r="G187" s="184"/>
      <c r="H187" s="184"/>
      <c r="I187" s="185" t="s">
        <v>136</v>
      </c>
      <c r="J187" s="186"/>
      <c r="K187" s="186"/>
      <c r="L187" s="186"/>
      <c r="M187" s="186"/>
      <c r="N187" s="186"/>
      <c r="O187" s="186"/>
      <c r="P187" s="186"/>
    </row>
    <row r="188" spans="1:16" s="4" customFormat="1" ht="14.4" x14ac:dyDescent="0.3">
      <c r="A188" s="10"/>
      <c r="B188" s="10"/>
      <c r="D188" s="65" t="s">
        <v>28</v>
      </c>
      <c r="E188" s="67">
        <f t="shared" ref="E188:P188" si="331">E3</f>
        <v>2015</v>
      </c>
      <c r="F188" s="67">
        <f t="shared" si="331"/>
        <v>2016</v>
      </c>
      <c r="G188" s="67">
        <f t="shared" si="331"/>
        <v>2017</v>
      </c>
      <c r="H188" s="67">
        <f t="shared" si="331"/>
        <v>2018</v>
      </c>
      <c r="I188" s="67" t="str">
        <f t="shared" si="331"/>
        <v>2019E</v>
      </c>
      <c r="J188" s="67" t="str">
        <f t="shared" si="331"/>
        <v>2020E</v>
      </c>
      <c r="K188" s="67" t="str">
        <f t="shared" si="331"/>
        <v>2021E</v>
      </c>
      <c r="L188" s="67" t="str">
        <f t="shared" si="331"/>
        <v>2022E</v>
      </c>
      <c r="M188" s="67" t="str">
        <f t="shared" si="331"/>
        <v>2023E</v>
      </c>
      <c r="N188" s="67" t="str">
        <f t="shared" si="331"/>
        <v>2024E</v>
      </c>
      <c r="O188" s="67" t="str">
        <f t="shared" si="331"/>
        <v>2025E</v>
      </c>
      <c r="P188" s="67" t="str">
        <f t="shared" si="331"/>
        <v>2026E</v>
      </c>
    </row>
    <row r="189" spans="1:16" s="4" customFormat="1" ht="14.4" x14ac:dyDescent="0.3">
      <c r="A189" s="10"/>
      <c r="B189" s="13" t="s">
        <v>12</v>
      </c>
      <c r="C189" s="12"/>
      <c r="D189" s="11"/>
      <c r="E189" s="11"/>
      <c r="F189" s="11"/>
      <c r="G189" s="11"/>
      <c r="H189" s="11"/>
      <c r="I189" s="119"/>
      <c r="J189" s="119"/>
      <c r="K189" s="119"/>
      <c r="L189" s="119"/>
      <c r="M189" s="119"/>
      <c r="N189" s="119"/>
      <c r="O189" s="119"/>
      <c r="P189" s="119"/>
    </row>
    <row r="190" spans="1:16" s="4" customFormat="1" ht="14.4" x14ac:dyDescent="0.3">
      <c r="A190" s="10"/>
      <c r="B190" s="10"/>
      <c r="C190" s="35" t="s">
        <v>11</v>
      </c>
      <c r="D190" s="157" t="s">
        <v>6</v>
      </c>
      <c r="E190" s="68"/>
      <c r="F190" s="97">
        <f t="shared" ref="F190:P190" si="332">F78</f>
        <v>28904594.315880008</v>
      </c>
      <c r="G190" s="97">
        <f t="shared" si="332"/>
        <v>29727568.999258459</v>
      </c>
      <c r="H190" s="97">
        <f t="shared" si="332"/>
        <v>37370701.696740858</v>
      </c>
      <c r="I190" s="97">
        <f t="shared" si="332"/>
        <v>44953581.212082654</v>
      </c>
      <c r="J190" s="97">
        <f t="shared" si="332"/>
        <v>53023522.290220425</v>
      </c>
      <c r="K190" s="97">
        <f t="shared" si="332"/>
        <v>60800343.278911009</v>
      </c>
      <c r="L190" s="97">
        <f t="shared" si="332"/>
        <v>69356722.683509097</v>
      </c>
      <c r="M190" s="97">
        <f t="shared" si="332"/>
        <v>80720294.260134086</v>
      </c>
      <c r="N190" s="97">
        <f t="shared" si="332"/>
        <v>89856560.53945823</v>
      </c>
      <c r="O190" s="97">
        <f t="shared" si="332"/>
        <v>96698592.615253732</v>
      </c>
      <c r="P190" s="97">
        <f t="shared" si="332"/>
        <v>102648050.96068868</v>
      </c>
    </row>
    <row r="191" spans="1:16" s="4" customFormat="1" ht="14.4" x14ac:dyDescent="0.3">
      <c r="A191" s="10"/>
      <c r="B191" s="10"/>
      <c r="C191" s="14" t="s">
        <v>90</v>
      </c>
      <c r="D191" s="33" t="s">
        <v>6</v>
      </c>
      <c r="E191" s="48"/>
      <c r="F191" s="98">
        <f>IF(F190&lt;0,0,IF(F190&gt;=0,F190*-0.34))</f>
        <v>-9827562.0673992038</v>
      </c>
      <c r="G191" s="98">
        <f t="shared" ref="G191:N191" si="333">IF(G190&lt;0,0,IF(G190&gt;=0,G190*-0.34))</f>
        <v>-10107373.459747877</v>
      </c>
      <c r="H191" s="98">
        <f t="shared" si="333"/>
        <v>-12706038.576891894</v>
      </c>
      <c r="I191" s="98">
        <f t="shared" si="333"/>
        <v>-15284217.612108104</v>
      </c>
      <c r="J191" s="98">
        <f t="shared" si="333"/>
        <v>-18027997.578674946</v>
      </c>
      <c r="K191" s="98">
        <f t="shared" si="333"/>
        <v>-20672116.714829743</v>
      </c>
      <c r="L191" s="98">
        <f t="shared" si="333"/>
        <v>-23581285.712393094</v>
      </c>
      <c r="M191" s="98">
        <f t="shared" si="333"/>
        <v>-27444900.04844559</v>
      </c>
      <c r="N191" s="98">
        <f t="shared" si="333"/>
        <v>-30551230.583415799</v>
      </c>
      <c r="O191" s="98">
        <f t="shared" ref="O191:P191" si="334">IF(O190&lt;0,0,IF(O190&gt;=0,O190*-0.34))</f>
        <v>-32877521.489186272</v>
      </c>
      <c r="P191" s="98">
        <f t="shared" si="334"/>
        <v>-34900337.326634154</v>
      </c>
    </row>
    <row r="192" spans="1:16" s="4" customFormat="1" ht="14.4" x14ac:dyDescent="0.3">
      <c r="A192" s="10"/>
      <c r="B192" s="10"/>
      <c r="C192" s="35" t="s">
        <v>10</v>
      </c>
      <c r="D192" s="157" t="s">
        <v>6</v>
      </c>
      <c r="E192" s="68"/>
      <c r="F192" s="97">
        <f>F190+F191</f>
        <v>19077032.248480804</v>
      </c>
      <c r="G192" s="97">
        <f t="shared" ref="G192:N192" si="335">G190+G191</f>
        <v>19620195.539510582</v>
      </c>
      <c r="H192" s="97">
        <f t="shared" si="335"/>
        <v>24664663.119848967</v>
      </c>
      <c r="I192" s="97">
        <f t="shared" si="335"/>
        <v>29669363.59997455</v>
      </c>
      <c r="J192" s="97">
        <f t="shared" si="335"/>
        <v>34995524.711545482</v>
      </c>
      <c r="K192" s="97">
        <f t="shared" si="335"/>
        <v>40128226.564081267</v>
      </c>
      <c r="L192" s="97">
        <f t="shared" si="335"/>
        <v>45775436.971116006</v>
      </c>
      <c r="M192" s="97">
        <f t="shared" si="335"/>
        <v>53275394.211688496</v>
      </c>
      <c r="N192" s="97">
        <f t="shared" si="335"/>
        <v>59305329.956042431</v>
      </c>
      <c r="O192" s="97">
        <f t="shared" ref="O192:P192" si="336">O190+O191</f>
        <v>63821071.12606746</v>
      </c>
      <c r="P192" s="97">
        <f t="shared" si="336"/>
        <v>67747713.634054527</v>
      </c>
    </row>
    <row r="193" spans="1:16" s="4" customFormat="1" ht="14.4" x14ac:dyDescent="0.3">
      <c r="A193" s="10"/>
      <c r="B193" s="10"/>
      <c r="C193" s="158" t="s">
        <v>91</v>
      </c>
      <c r="D193" s="159" t="s">
        <v>6</v>
      </c>
      <c r="E193" s="31"/>
      <c r="F193" s="96">
        <f t="shared" ref="F193:P193" si="337">-F76</f>
        <v>4534028.0673200004</v>
      </c>
      <c r="G193" s="96">
        <f t="shared" si="337"/>
        <v>4946712.8342455998</v>
      </c>
      <c r="H193" s="96">
        <f t="shared" si="337"/>
        <v>5525365.6898205504</v>
      </c>
      <c r="I193" s="96">
        <f t="shared" si="337"/>
        <v>6226017.0942020239</v>
      </c>
      <c r="J193" s="96">
        <f t="shared" si="337"/>
        <v>7033655.7015469177</v>
      </c>
      <c r="K193" s="96">
        <f t="shared" si="337"/>
        <v>7873196.9746966809</v>
      </c>
      <c r="L193" s="96">
        <f t="shared" si="337"/>
        <v>8777166.9848337024</v>
      </c>
      <c r="M193" s="96">
        <f t="shared" si="337"/>
        <v>6350506.5747667002</v>
      </c>
      <c r="N193" s="96">
        <f t="shared" si="337"/>
        <v>5498936.5735810595</v>
      </c>
      <c r="O193" s="96">
        <f t="shared" si="337"/>
        <v>6782799.9057979137</v>
      </c>
      <c r="P193" s="96">
        <f t="shared" si="337"/>
        <v>8155840.6686048564</v>
      </c>
    </row>
    <row r="194" spans="1:16" s="4" customFormat="1" ht="14.4" x14ac:dyDescent="0.3">
      <c r="A194" s="10"/>
      <c r="B194" s="10"/>
      <c r="C194" s="158" t="s">
        <v>9</v>
      </c>
      <c r="D194" s="159" t="s">
        <v>6</v>
      </c>
      <c r="E194" s="31"/>
      <c r="F194" s="96">
        <f>-F148</f>
        <v>-2981960.3580000042</v>
      </c>
      <c r="G194" s="96">
        <f t="shared" ref="G194:N194" si="338">-G148</f>
        <v>-4924544.3720460013</v>
      </c>
      <c r="H194" s="96">
        <f t="shared" si="338"/>
        <v>-6196575.2094792007</v>
      </c>
      <c r="I194" s="96">
        <f t="shared" si="338"/>
        <v>-7183606.4483863693</v>
      </c>
      <c r="J194" s="96">
        <f t="shared" si="338"/>
        <v>-8239685.6660709428</v>
      </c>
      <c r="K194" s="96">
        <f t="shared" si="338"/>
        <v>-9288809.0150389578</v>
      </c>
      <c r="L194" s="96">
        <f t="shared" si="338"/>
        <v>-10408678.734858699</v>
      </c>
      <c r="M194" s="96">
        <f t="shared" si="338"/>
        <v>-11473567.595575474</v>
      </c>
      <c r="N194" s="96">
        <f t="shared" si="338"/>
        <v>-12472097.003218751</v>
      </c>
      <c r="O194" s="96">
        <f t="shared" ref="O194:P194" si="339">-O148</f>
        <v>-13438622.693325061</v>
      </c>
      <c r="P194" s="96">
        <f t="shared" si="339"/>
        <v>-14365245.58695939</v>
      </c>
    </row>
    <row r="195" spans="1:16" s="4" customFormat="1" ht="14.4" x14ac:dyDescent="0.3">
      <c r="A195" s="10"/>
      <c r="B195" s="10"/>
      <c r="C195" s="158" t="s">
        <v>141</v>
      </c>
      <c r="D195" s="159" t="s">
        <v>6</v>
      </c>
      <c r="E195" s="31"/>
      <c r="F195" s="96">
        <f>F196+F200</f>
        <v>-15366290.746044759</v>
      </c>
      <c r="G195" s="96">
        <f t="shared" ref="G195:P195" si="340">G196+G200</f>
        <v>-6314583.9084765026</v>
      </c>
      <c r="H195" s="96">
        <f t="shared" si="340"/>
        <v>-12407115.748324944</v>
      </c>
      <c r="I195" s="96">
        <f t="shared" si="340"/>
        <v>-12173538.669856522</v>
      </c>
      <c r="J195" s="96">
        <f t="shared" si="340"/>
        <v>-13210111.921383705</v>
      </c>
      <c r="K195" s="96">
        <f t="shared" si="340"/>
        <v>-13115132.754897032</v>
      </c>
      <c r="L195" s="96">
        <f t="shared" si="340"/>
        <v>-14012202.85191251</v>
      </c>
      <c r="M195" s="96">
        <f t="shared" si="340"/>
        <v>-13207688.46732647</v>
      </c>
      <c r="N195" s="96">
        <f t="shared" si="340"/>
        <v>-12431116.931862082</v>
      </c>
      <c r="O195" s="96">
        <f t="shared" si="340"/>
        <v>-12112496.948162634</v>
      </c>
      <c r="P195" s="96">
        <f t="shared" si="340"/>
        <v>-11595906.112856604</v>
      </c>
    </row>
    <row r="196" spans="1:16" s="4" customFormat="1" ht="14.4" x14ac:dyDescent="0.3">
      <c r="A196" s="10"/>
      <c r="B196" s="10"/>
      <c r="C196" s="61" t="s">
        <v>126</v>
      </c>
      <c r="D196" s="159" t="s">
        <v>6</v>
      </c>
      <c r="E196" s="31"/>
      <c r="F196" s="96">
        <f>SUM(F197:F199)</f>
        <v>-21422097.160393361</v>
      </c>
      <c r="G196" s="96">
        <f t="shared" ref="G196:P196" si="341">SUM(G197:G199)</f>
        <v>-9812508.8117308728</v>
      </c>
      <c r="H196" s="96">
        <f t="shared" si="341"/>
        <v>-19130733.475903705</v>
      </c>
      <c r="I196" s="96">
        <f t="shared" si="341"/>
        <v>-19322970.51235579</v>
      </c>
      <c r="J196" s="96">
        <f t="shared" si="341"/>
        <v>-20674712.995532736</v>
      </c>
      <c r="K196" s="96">
        <f t="shared" si="341"/>
        <v>-20538538.940649994</v>
      </c>
      <c r="L196" s="96">
        <f t="shared" si="341"/>
        <v>-21923530.604477882</v>
      </c>
      <c r="M196" s="96">
        <f t="shared" si="341"/>
        <v>-20847178.127157167</v>
      </c>
      <c r="N196" s="96">
        <f t="shared" si="341"/>
        <v>-19548068.530205712</v>
      </c>
      <c r="O196" s="96">
        <f t="shared" si="341"/>
        <v>-18921536.293052495</v>
      </c>
      <c r="P196" s="96">
        <f t="shared" si="341"/>
        <v>-18140364.908403829</v>
      </c>
    </row>
    <row r="197" spans="1:16" s="4" customFormat="1" ht="14.4" x14ac:dyDescent="0.3">
      <c r="A197" s="10"/>
      <c r="B197" s="10"/>
      <c r="C197" s="190" t="s">
        <v>127</v>
      </c>
      <c r="D197" s="33" t="s">
        <v>6</v>
      </c>
      <c r="E197" s="48"/>
      <c r="F197" s="98">
        <f t="shared" ref="F197:P197" si="342">-(F104-E104)</f>
        <v>-13420345.55333335</v>
      </c>
      <c r="G197" s="98">
        <f t="shared" si="342"/>
        <v>-6365152.113666676</v>
      </c>
      <c r="H197" s="98">
        <f t="shared" si="342"/>
        <v>-14913478.041149989</v>
      </c>
      <c r="I197" s="98">
        <f t="shared" si="342"/>
        <v>-13153006.374326006</v>
      </c>
      <c r="J197" s="98">
        <f t="shared" si="342"/>
        <v>-14073127.713139042</v>
      </c>
      <c r="K197" s="98">
        <f t="shared" si="342"/>
        <v>-13980435.018154845</v>
      </c>
      <c r="L197" s="98">
        <f t="shared" si="342"/>
        <v>-14923188.833934247</v>
      </c>
      <c r="M197" s="98">
        <f t="shared" si="342"/>
        <v>-14190523.481773823</v>
      </c>
      <c r="N197" s="98">
        <f t="shared" si="342"/>
        <v>-13306228.96821937</v>
      </c>
      <c r="O197" s="98">
        <f t="shared" si="342"/>
        <v>-12879753.002542794</v>
      </c>
      <c r="P197" s="98">
        <f t="shared" si="342"/>
        <v>-12348015.286793798</v>
      </c>
    </row>
    <row r="198" spans="1:16" s="4" customFormat="1" ht="14.4" x14ac:dyDescent="0.3">
      <c r="A198" s="10"/>
      <c r="B198" s="10"/>
      <c r="C198" s="190" t="s">
        <v>128</v>
      </c>
      <c r="D198" s="33" t="s">
        <v>6</v>
      </c>
      <c r="E198" s="48"/>
      <c r="F198" s="98">
        <f t="shared" ref="F198:P198" si="343">-(F105-E105)</f>
        <v>-7872775.6070600115</v>
      </c>
      <c r="G198" s="98">
        <f t="shared" si="343"/>
        <v>-3626950.6980641969</v>
      </c>
      <c r="H198" s="98">
        <f t="shared" si="343"/>
        <v>-4159826.434753716</v>
      </c>
      <c r="I198" s="98">
        <f t="shared" si="343"/>
        <v>-6169964.138029784</v>
      </c>
      <c r="J198" s="98">
        <f t="shared" si="343"/>
        <v>-6601585.2823936939</v>
      </c>
      <c r="K198" s="98">
        <f t="shared" si="343"/>
        <v>-6558103.9224951491</v>
      </c>
      <c r="L198" s="98">
        <f t="shared" si="343"/>
        <v>-7000341.7705436349</v>
      </c>
      <c r="M198" s="98">
        <f t="shared" si="343"/>
        <v>-6656654.6453833431</v>
      </c>
      <c r="N198" s="98">
        <f t="shared" si="343"/>
        <v>-6241839.5619863421</v>
      </c>
      <c r="O198" s="98">
        <f t="shared" si="343"/>
        <v>-6041783.2905097008</v>
      </c>
      <c r="P198" s="98">
        <f t="shared" si="343"/>
        <v>-5792349.6216100305</v>
      </c>
    </row>
    <row r="199" spans="1:16" s="4" customFormat="1" ht="14.4" x14ac:dyDescent="0.3">
      <c r="A199" s="10"/>
      <c r="B199" s="10"/>
      <c r="C199" s="190" t="s">
        <v>129</v>
      </c>
      <c r="D199" s="33" t="s">
        <v>6</v>
      </c>
      <c r="E199" s="48"/>
      <c r="F199" s="98">
        <f t="shared" ref="F199:P199" si="344">-(F106-E106)</f>
        <v>-128976</v>
      </c>
      <c r="G199" s="98">
        <f t="shared" si="344"/>
        <v>179594</v>
      </c>
      <c r="H199" s="98">
        <f t="shared" si="344"/>
        <v>-57429</v>
      </c>
      <c r="I199" s="98">
        <f t="shared" si="344"/>
        <v>0</v>
      </c>
      <c r="J199" s="98">
        <f t="shared" si="344"/>
        <v>0</v>
      </c>
      <c r="K199" s="98">
        <f t="shared" si="344"/>
        <v>0</v>
      </c>
      <c r="L199" s="98">
        <f t="shared" si="344"/>
        <v>0</v>
      </c>
      <c r="M199" s="98">
        <f t="shared" si="344"/>
        <v>0</v>
      </c>
      <c r="N199" s="98">
        <f t="shared" si="344"/>
        <v>0</v>
      </c>
      <c r="O199" s="98">
        <f t="shared" si="344"/>
        <v>0</v>
      </c>
      <c r="P199" s="98">
        <f t="shared" si="344"/>
        <v>0</v>
      </c>
    </row>
    <row r="200" spans="1:16" s="4" customFormat="1" ht="14.4" x14ac:dyDescent="0.3">
      <c r="A200" s="10"/>
      <c r="B200" s="10"/>
      <c r="C200" s="61" t="s">
        <v>130</v>
      </c>
      <c r="D200" s="159" t="s">
        <v>6</v>
      </c>
      <c r="E200" s="31"/>
      <c r="F200" s="96">
        <f>SUM(F201:F204)</f>
        <v>6055806.4143486014</v>
      </c>
      <c r="G200" s="96">
        <f t="shared" ref="G200:P200" si="345">SUM(G201:G204)</f>
        <v>3497924.9032543702</v>
      </c>
      <c r="H200" s="96">
        <f t="shared" si="345"/>
        <v>6723617.7275787611</v>
      </c>
      <c r="I200" s="96">
        <f t="shared" si="345"/>
        <v>7149431.8424992682</v>
      </c>
      <c r="J200" s="96">
        <f t="shared" si="345"/>
        <v>7464601.0741490312</v>
      </c>
      <c r="K200" s="96">
        <f t="shared" si="345"/>
        <v>7423406.1857529609</v>
      </c>
      <c r="L200" s="96">
        <f t="shared" si="345"/>
        <v>7911327.7525653727</v>
      </c>
      <c r="M200" s="96">
        <f t="shared" si="345"/>
        <v>7639489.6598306978</v>
      </c>
      <c r="N200" s="96">
        <f t="shared" si="345"/>
        <v>7116951.5983436294</v>
      </c>
      <c r="O200" s="96">
        <f t="shared" si="345"/>
        <v>6809039.3448898597</v>
      </c>
      <c r="P200" s="96">
        <f t="shared" si="345"/>
        <v>6544458.7955472255</v>
      </c>
    </row>
    <row r="201" spans="1:16" s="4" customFormat="1" ht="14.4" x14ac:dyDescent="0.3">
      <c r="A201" s="10"/>
      <c r="B201" s="10"/>
      <c r="C201" s="190" t="s">
        <v>131</v>
      </c>
      <c r="D201" s="33" t="s">
        <v>6</v>
      </c>
      <c r="E201" s="48"/>
      <c r="F201" s="98">
        <f t="shared" ref="F201:P201" si="346">F116-E116</f>
        <v>3318541.135086678</v>
      </c>
      <c r="G201" s="98">
        <f t="shared" si="346"/>
        <v>2441381.0458119288</v>
      </c>
      <c r="H201" s="98">
        <f t="shared" si="346"/>
        <v>5204146.3309815452</v>
      </c>
      <c r="I201" s="98">
        <f t="shared" si="346"/>
        <v>4915056.1777525321</v>
      </c>
      <c r="J201" s="98">
        <f t="shared" si="346"/>
        <v>5258889.9707204029</v>
      </c>
      <c r="K201" s="98">
        <f t="shared" si="346"/>
        <v>5224252.2772419006</v>
      </c>
      <c r="L201" s="98">
        <f t="shared" si="346"/>
        <v>5576543.4443313703</v>
      </c>
      <c r="M201" s="98">
        <f t="shared" si="346"/>
        <v>5302758.7853053734</v>
      </c>
      <c r="N201" s="98">
        <f t="shared" si="346"/>
        <v>4972312.8714128435</v>
      </c>
      <c r="O201" s="98">
        <f t="shared" si="346"/>
        <v>4812946.0110840052</v>
      </c>
      <c r="P201" s="98">
        <f t="shared" si="346"/>
        <v>4614244.6138249263</v>
      </c>
    </row>
    <row r="202" spans="1:16" s="4" customFormat="1" ht="14.4" x14ac:dyDescent="0.3">
      <c r="A202" s="10"/>
      <c r="B202" s="10"/>
      <c r="C202" s="190" t="s">
        <v>132</v>
      </c>
      <c r="D202" s="33" t="s">
        <v>6</v>
      </c>
      <c r="E202" s="48"/>
      <c r="F202" s="98">
        <f t="shared" ref="F202:P202" si="347">F117-E117</f>
        <v>285923.68888888881</v>
      </c>
      <c r="G202" s="98">
        <f t="shared" si="347"/>
        <v>395976.69095138926</v>
      </c>
      <c r="H202" s="98">
        <f t="shared" si="347"/>
        <v>-24917.608477277914</v>
      </c>
      <c r="I202" s="98">
        <f t="shared" si="347"/>
        <v>194834.12912078691</v>
      </c>
      <c r="J202" s="98">
        <f t="shared" si="347"/>
        <v>207582.7670162688</v>
      </c>
      <c r="K202" s="98">
        <f t="shared" si="347"/>
        <v>222571.77744435053</v>
      </c>
      <c r="L202" s="98">
        <f t="shared" si="347"/>
        <v>215998.08877735585</v>
      </c>
      <c r="M202" s="98">
        <f t="shared" si="347"/>
        <v>209192.78021073062</v>
      </c>
      <c r="N202" s="98">
        <f t="shared" si="347"/>
        <v>202766.6900829603</v>
      </c>
      <c r="O202" s="98">
        <f t="shared" si="347"/>
        <v>186398.07762336265</v>
      </c>
      <c r="P202" s="98">
        <f t="shared" si="347"/>
        <v>216551.46293992642</v>
      </c>
    </row>
    <row r="203" spans="1:16" s="4" customFormat="1" ht="14.4" x14ac:dyDescent="0.3">
      <c r="A203" s="10"/>
      <c r="B203" s="10"/>
      <c r="C203" s="190" t="s">
        <v>133</v>
      </c>
      <c r="D203" s="33" t="s">
        <v>6</v>
      </c>
      <c r="E203" s="48"/>
      <c r="F203" s="98">
        <f t="shared" ref="F203:P203" si="348">F118-E118</f>
        <v>2362672.5903730346</v>
      </c>
      <c r="G203" s="98">
        <f t="shared" si="348"/>
        <v>678590.16649105214</v>
      </c>
      <c r="H203" s="98">
        <f t="shared" si="348"/>
        <v>1543464.0050744936</v>
      </c>
      <c r="I203" s="98">
        <f t="shared" si="348"/>
        <v>2039541.5356259495</v>
      </c>
      <c r="J203" s="98">
        <f t="shared" si="348"/>
        <v>1998128.336412359</v>
      </c>
      <c r="K203" s="98">
        <f t="shared" si="348"/>
        <v>1976582.1310667098</v>
      </c>
      <c r="L203" s="98">
        <f t="shared" si="348"/>
        <v>2118786.2194566466</v>
      </c>
      <c r="M203" s="98">
        <f t="shared" si="348"/>
        <v>2127538.0943145938</v>
      </c>
      <c r="N203" s="98">
        <f t="shared" si="348"/>
        <v>1941872.0368478261</v>
      </c>
      <c r="O203" s="98">
        <f t="shared" si="348"/>
        <v>1809695.2561824918</v>
      </c>
      <c r="P203" s="98">
        <f t="shared" si="348"/>
        <v>1713662.7187823728</v>
      </c>
    </row>
    <row r="204" spans="1:16" s="4" customFormat="1" ht="14.4" x14ac:dyDescent="0.3">
      <c r="A204" s="10"/>
      <c r="B204" s="10"/>
      <c r="C204" s="190" t="s">
        <v>134</v>
      </c>
      <c r="D204" s="33" t="s">
        <v>6</v>
      </c>
      <c r="E204" s="48"/>
      <c r="F204" s="98">
        <f t="shared" ref="F204:P204" si="349">F120-E120</f>
        <v>88669</v>
      </c>
      <c r="G204" s="98">
        <f t="shared" si="349"/>
        <v>-18023</v>
      </c>
      <c r="H204" s="98">
        <f t="shared" si="349"/>
        <v>925</v>
      </c>
      <c r="I204" s="98">
        <f t="shared" si="349"/>
        <v>0</v>
      </c>
      <c r="J204" s="98">
        <f t="shared" si="349"/>
        <v>0</v>
      </c>
      <c r="K204" s="98">
        <f t="shared" si="349"/>
        <v>0</v>
      </c>
      <c r="L204" s="98">
        <f t="shared" si="349"/>
        <v>0</v>
      </c>
      <c r="M204" s="98">
        <f t="shared" si="349"/>
        <v>0</v>
      </c>
      <c r="N204" s="98">
        <f t="shared" si="349"/>
        <v>0</v>
      </c>
      <c r="O204" s="98">
        <f t="shared" si="349"/>
        <v>0</v>
      </c>
      <c r="P204" s="98">
        <f t="shared" si="349"/>
        <v>0</v>
      </c>
    </row>
    <row r="205" spans="1:16" s="4" customFormat="1" ht="14.4" x14ac:dyDescent="0.3">
      <c r="A205" s="10"/>
      <c r="B205" s="10"/>
      <c r="C205" s="35" t="s">
        <v>8</v>
      </c>
      <c r="D205" s="157" t="s">
        <v>6</v>
      </c>
      <c r="E205" s="68"/>
      <c r="F205" s="97">
        <f>SUM(F192:F195)</f>
        <v>5262809.2117560431</v>
      </c>
      <c r="G205" s="97">
        <f t="shared" ref="G205:P205" si="350">SUM(G192:G195)</f>
        <v>13327780.093233678</v>
      </c>
      <c r="H205" s="97">
        <f t="shared" si="350"/>
        <v>11586337.851865372</v>
      </c>
      <c r="I205" s="97">
        <f t="shared" si="350"/>
        <v>16538235.575933684</v>
      </c>
      <c r="J205" s="97">
        <f t="shared" si="350"/>
        <v>20579382.825637747</v>
      </c>
      <c r="K205" s="97">
        <f t="shared" si="350"/>
        <v>25597481.768841956</v>
      </c>
      <c r="L205" s="97">
        <f t="shared" si="350"/>
        <v>30131722.3691785</v>
      </c>
      <c r="M205" s="97">
        <f t="shared" si="350"/>
        <v>34944644.723553255</v>
      </c>
      <c r="N205" s="97">
        <f t="shared" si="350"/>
        <v>39901052.594542652</v>
      </c>
      <c r="O205" s="97">
        <f t="shared" si="350"/>
        <v>45052751.390377685</v>
      </c>
      <c r="P205" s="97">
        <f t="shared" si="350"/>
        <v>49942402.602843381</v>
      </c>
    </row>
    <row r="206" spans="1:16" s="4" customFormat="1" ht="14.4" x14ac:dyDescent="0.3">
      <c r="A206" s="10"/>
      <c r="B206" s="10"/>
      <c r="C206" s="14" t="s">
        <v>135</v>
      </c>
      <c r="D206" s="33" t="s">
        <v>6</v>
      </c>
      <c r="E206" s="48"/>
      <c r="F206" s="98">
        <f t="shared" ref="F206:P206" si="351">SUM(F119,F123)-SUM(E119,E123)</f>
        <v>29012046.799799979</v>
      </c>
      <c r="G206" s="98">
        <f t="shared" si="351"/>
        <v>-8548795.3745951429</v>
      </c>
      <c r="H206" s="98">
        <f t="shared" si="351"/>
        <v>-7292284.2909557447</v>
      </c>
      <c r="I206" s="98">
        <f t="shared" si="351"/>
        <v>0</v>
      </c>
      <c r="J206" s="98">
        <f t="shared" si="351"/>
        <v>0</v>
      </c>
      <c r="K206" s="98">
        <f t="shared" si="351"/>
        <v>0</v>
      </c>
      <c r="L206" s="98">
        <f t="shared" si="351"/>
        <v>0</v>
      </c>
      <c r="M206" s="98">
        <f t="shared" si="351"/>
        <v>0</v>
      </c>
      <c r="N206" s="98">
        <f t="shared" si="351"/>
        <v>0</v>
      </c>
      <c r="O206" s="98">
        <f t="shared" si="351"/>
        <v>0</v>
      </c>
      <c r="P206" s="98">
        <f t="shared" si="351"/>
        <v>0</v>
      </c>
    </row>
    <row r="207" spans="1:16" s="4" customFormat="1" ht="14.4" x14ac:dyDescent="0.3">
      <c r="A207" s="10"/>
      <c r="B207" s="10"/>
      <c r="C207" s="14" t="s">
        <v>92</v>
      </c>
      <c r="D207" s="33" t="s">
        <v>6</v>
      </c>
      <c r="E207" s="48"/>
      <c r="F207" s="98">
        <f t="shared" ref="F207:P207" si="352">F81+F85</f>
        <v>-10179971.811464002</v>
      </c>
      <c r="G207" s="98">
        <f t="shared" si="352"/>
        <v>-6375781.1006033216</v>
      </c>
      <c r="H207" s="98">
        <f t="shared" si="352"/>
        <v>-4690838.144577804</v>
      </c>
      <c r="I207" s="98">
        <f t="shared" si="352"/>
        <v>0</v>
      </c>
      <c r="J207" s="98">
        <f t="shared" si="352"/>
        <v>0</v>
      </c>
      <c r="K207" s="98">
        <f t="shared" si="352"/>
        <v>0</v>
      </c>
      <c r="L207" s="98">
        <f t="shared" si="352"/>
        <v>0</v>
      </c>
      <c r="M207" s="98">
        <f t="shared" si="352"/>
        <v>0</v>
      </c>
      <c r="N207" s="98">
        <f t="shared" si="352"/>
        <v>0</v>
      </c>
      <c r="O207" s="98">
        <f t="shared" si="352"/>
        <v>0</v>
      </c>
      <c r="P207" s="98">
        <f t="shared" si="352"/>
        <v>0</v>
      </c>
    </row>
    <row r="208" spans="1:16" s="18" customFormat="1" ht="14.4" x14ac:dyDescent="0.3">
      <c r="A208" s="20"/>
      <c r="B208" s="10"/>
      <c r="C208" s="14" t="s">
        <v>93</v>
      </c>
      <c r="D208" s="33" t="s">
        <v>6</v>
      </c>
      <c r="E208" s="48"/>
      <c r="F208" s="98">
        <f t="shared" ref="F208:P208" si="353">F90-F191</f>
        <v>3564175.8396720504</v>
      </c>
      <c r="G208" s="98">
        <f t="shared" si="353"/>
        <v>2261172.7257997496</v>
      </c>
      <c r="H208" s="98">
        <f t="shared" si="353"/>
        <v>1660244.696260782</v>
      </c>
      <c r="I208" s="98">
        <f t="shared" si="353"/>
        <v>0</v>
      </c>
      <c r="J208" s="98">
        <f t="shared" si="353"/>
        <v>0</v>
      </c>
      <c r="K208" s="98">
        <f t="shared" si="353"/>
        <v>0</v>
      </c>
      <c r="L208" s="98">
        <f t="shared" si="353"/>
        <v>0</v>
      </c>
      <c r="M208" s="98">
        <f t="shared" si="353"/>
        <v>0</v>
      </c>
      <c r="N208" s="98">
        <f t="shared" si="353"/>
        <v>0</v>
      </c>
      <c r="O208" s="98">
        <f t="shared" si="353"/>
        <v>0</v>
      </c>
      <c r="P208" s="98">
        <f t="shared" si="353"/>
        <v>0</v>
      </c>
    </row>
    <row r="209" spans="1:16" s="4" customFormat="1" ht="14.4" x14ac:dyDescent="0.3">
      <c r="A209" s="10"/>
      <c r="B209" s="10"/>
      <c r="C209" s="35" t="s">
        <v>7</v>
      </c>
      <c r="D209" s="157" t="s">
        <v>6</v>
      </c>
      <c r="E209" s="68"/>
      <c r="F209" s="97">
        <f>SUM(F205:F208)</f>
        <v>27659060.039764069</v>
      </c>
      <c r="G209" s="97">
        <f t="shared" ref="G209:N209" si="354">SUM(G205:G208)</f>
        <v>664376.34383496363</v>
      </c>
      <c r="H209" s="97">
        <f t="shared" si="354"/>
        <v>1263460.1125926049</v>
      </c>
      <c r="I209" s="97">
        <f t="shared" si="354"/>
        <v>16538235.575933684</v>
      </c>
      <c r="J209" s="97">
        <f t="shared" si="354"/>
        <v>20579382.825637747</v>
      </c>
      <c r="K209" s="97">
        <f t="shared" si="354"/>
        <v>25597481.768841956</v>
      </c>
      <c r="L209" s="97">
        <f t="shared" si="354"/>
        <v>30131722.3691785</v>
      </c>
      <c r="M209" s="97">
        <f t="shared" si="354"/>
        <v>34944644.723553255</v>
      </c>
      <c r="N209" s="97">
        <f t="shared" si="354"/>
        <v>39901052.594542652</v>
      </c>
      <c r="O209" s="97">
        <f t="shared" ref="O209:P209" si="355">SUM(O205:O208)</f>
        <v>45052751.390377685</v>
      </c>
      <c r="P209" s="97">
        <f t="shared" si="355"/>
        <v>49942402.602843381</v>
      </c>
    </row>
    <row r="210" spans="1:16" s="4" customFormat="1" ht="14.4" x14ac:dyDescent="0.3">
      <c r="A210" s="10"/>
      <c r="B210" s="10"/>
      <c r="E210" s="71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</row>
    <row r="211" spans="1:16" s="4" customFormat="1" ht="14.4" x14ac:dyDescent="0.3">
      <c r="A211" s="10"/>
      <c r="B211" s="10"/>
      <c r="E211" s="44"/>
      <c r="F211" s="156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</row>
    <row r="212" spans="1:16" s="4" customFormat="1" ht="14.4" x14ac:dyDescent="0.3">
      <c r="A212" s="10"/>
      <c r="B212" s="13" t="s">
        <v>4</v>
      </c>
      <c r="C212" s="12"/>
      <c r="D212" s="11"/>
      <c r="E212" s="78"/>
      <c r="F212" s="156"/>
      <c r="G212" s="183"/>
      <c r="H212" s="93"/>
      <c r="I212" s="93"/>
      <c r="J212" s="93"/>
      <c r="K212" s="93"/>
      <c r="L212" s="93"/>
      <c r="M212" s="93"/>
      <c r="N212" s="93"/>
      <c r="O212" s="93"/>
      <c r="P212" s="93"/>
    </row>
    <row r="213" spans="1:16" s="4" customFormat="1" ht="14.4" x14ac:dyDescent="0.3">
      <c r="A213" s="10"/>
      <c r="B213" s="10"/>
      <c r="C213" s="27" t="s">
        <v>3</v>
      </c>
      <c r="D213" s="136">
        <v>0.13500000000000001</v>
      </c>
      <c r="E213" s="44"/>
      <c r="F213" s="44"/>
      <c r="G213" s="44"/>
      <c r="H213" s="44"/>
      <c r="I213" s="9"/>
      <c r="J213" s="9"/>
      <c r="K213" s="9"/>
      <c r="L213" s="9"/>
      <c r="M213" s="9"/>
      <c r="N213" s="9"/>
      <c r="O213" s="9"/>
      <c r="P213" s="9"/>
    </row>
    <row r="214" spans="1:16" s="4" customFormat="1" ht="14.4" x14ac:dyDescent="0.3">
      <c r="A214" s="10"/>
      <c r="B214" s="10"/>
      <c r="C214" s="27" t="s">
        <v>192</v>
      </c>
      <c r="D214" s="229">
        <v>6</v>
      </c>
      <c r="E214" s="44"/>
      <c r="F214" s="44"/>
      <c r="G214" s="44"/>
      <c r="H214" s="44"/>
      <c r="I214" s="9"/>
      <c r="J214" s="9"/>
      <c r="K214" s="9"/>
      <c r="L214" s="9"/>
      <c r="M214" s="9"/>
      <c r="N214" s="9"/>
      <c r="O214" s="9"/>
      <c r="P214" s="9"/>
    </row>
    <row r="215" spans="1:16" s="4" customFormat="1" ht="14.4" x14ac:dyDescent="0.3">
      <c r="A215" s="10"/>
      <c r="B215" s="10"/>
      <c r="C215" s="27" t="s">
        <v>123</v>
      </c>
      <c r="D215" s="137">
        <v>43646</v>
      </c>
      <c r="E215" s="44"/>
      <c r="F215" s="44"/>
      <c r="G215" s="44"/>
      <c r="H215" s="44"/>
      <c r="I215" s="9"/>
      <c r="J215" s="9"/>
      <c r="K215" s="9"/>
      <c r="L215" s="9"/>
      <c r="M215" s="9"/>
      <c r="N215" s="9"/>
      <c r="O215" s="9"/>
      <c r="P215" s="9"/>
    </row>
    <row r="216" spans="1:16" s="4" customFormat="1" ht="14.4" x14ac:dyDescent="0.3">
      <c r="A216" s="10"/>
      <c r="B216" s="10"/>
      <c r="C216" s="27"/>
      <c r="D216" s="6"/>
      <c r="E216" s="44"/>
      <c r="F216" s="44"/>
      <c r="G216" s="44"/>
      <c r="H216" s="44"/>
      <c r="I216" s="9"/>
      <c r="J216" s="9"/>
      <c r="K216" s="9"/>
      <c r="L216" s="9"/>
      <c r="M216" s="9"/>
      <c r="N216" s="9"/>
      <c r="O216" s="9"/>
      <c r="P216" s="9"/>
    </row>
    <row r="217" spans="1:16" s="4" customFormat="1" ht="14.4" x14ac:dyDescent="0.3">
      <c r="A217" s="10"/>
      <c r="B217" s="10"/>
      <c r="C217" s="27" t="s">
        <v>121</v>
      </c>
      <c r="D217" s="6"/>
      <c r="E217" s="44"/>
      <c r="F217" s="44"/>
      <c r="G217" s="44"/>
      <c r="H217" s="44"/>
      <c r="I217" s="118">
        <v>0.5</v>
      </c>
      <c r="J217" s="74">
        <f>I217+1</f>
        <v>1.5</v>
      </c>
      <c r="K217" s="74">
        <f t="shared" ref="K217:N217" si="356">J217+1</f>
        <v>2.5</v>
      </c>
      <c r="L217" s="74">
        <f t="shared" si="356"/>
        <v>3.5</v>
      </c>
      <c r="M217" s="74">
        <f t="shared" si="356"/>
        <v>4.5</v>
      </c>
      <c r="N217" s="74">
        <f t="shared" si="356"/>
        <v>5.5</v>
      </c>
      <c r="O217" s="74">
        <f t="shared" ref="O217" si="357">N217+1</f>
        <v>6.5</v>
      </c>
      <c r="P217" s="74">
        <f t="shared" ref="P217" si="358">O217+1</f>
        <v>7.5</v>
      </c>
    </row>
    <row r="218" spans="1:16" s="4" customFormat="1" ht="14.4" x14ac:dyDescent="0.3">
      <c r="A218" s="10"/>
      <c r="B218" s="10"/>
      <c r="C218" s="27" t="s">
        <v>125</v>
      </c>
      <c r="D218" s="225">
        <f>SUM(I218:P218)</f>
        <v>149287587.09055582</v>
      </c>
      <c r="E218" s="173"/>
      <c r="F218" s="74"/>
      <c r="G218" s="74"/>
      <c r="H218" s="74"/>
      <c r="I218" s="98">
        <f t="shared" ref="I218:P218" si="359">I205/(1+$D$213)^I217</f>
        <v>15523557.087176755</v>
      </c>
      <c r="J218" s="98">
        <f t="shared" si="359"/>
        <v>17019176.956101246</v>
      </c>
      <c r="K218" s="98">
        <f t="shared" si="359"/>
        <v>18651234.760750763</v>
      </c>
      <c r="L218" s="98">
        <f t="shared" si="359"/>
        <v>19343650.727151737</v>
      </c>
      <c r="M218" s="98">
        <f t="shared" si="359"/>
        <v>19765110.767258171</v>
      </c>
      <c r="N218" s="98">
        <f t="shared" si="359"/>
        <v>19884153.8231696</v>
      </c>
      <c r="O218" s="98">
        <f t="shared" si="359"/>
        <v>19780998.896948319</v>
      </c>
      <c r="P218" s="98">
        <f t="shared" si="359"/>
        <v>19319704.071999222</v>
      </c>
    </row>
    <row r="219" spans="1:16" s="4" customFormat="1" ht="14.4" x14ac:dyDescent="0.3">
      <c r="A219" s="10"/>
      <c r="B219" s="10"/>
      <c r="C219" s="27" t="s">
        <v>191</v>
      </c>
      <c r="D219" s="225">
        <f>D226/(1+D213)^P217</f>
        <v>257180065.60404593</v>
      </c>
      <c r="E219" s="173"/>
      <c r="F219" s="44"/>
      <c r="G219" s="44"/>
      <c r="H219" s="44"/>
      <c r="I219" s="9"/>
      <c r="J219" s="9"/>
      <c r="K219" s="9"/>
      <c r="L219" s="9"/>
      <c r="M219" s="9"/>
      <c r="N219" s="9"/>
      <c r="O219" s="9"/>
      <c r="P219" s="9"/>
    </row>
    <row r="220" spans="1:16" s="4" customFormat="1" ht="14.4" x14ac:dyDescent="0.3">
      <c r="A220" s="10"/>
      <c r="B220" s="10"/>
      <c r="C220" s="7" t="s">
        <v>0</v>
      </c>
      <c r="D220" s="226">
        <f>D218+D219</f>
        <v>406467652.69460177</v>
      </c>
      <c r="E220" s="173"/>
      <c r="F220" s="44"/>
      <c r="G220" s="44"/>
      <c r="H220" s="44"/>
      <c r="I220" s="9"/>
      <c r="J220" s="9"/>
      <c r="K220" s="9"/>
      <c r="L220" s="9"/>
      <c r="M220" s="9"/>
      <c r="N220" s="9"/>
      <c r="O220" s="9"/>
      <c r="P220" s="9"/>
    </row>
    <row r="221" spans="1:16" s="4" customFormat="1" ht="14.4" x14ac:dyDescent="0.3">
      <c r="A221" s="10"/>
      <c r="B221" s="10"/>
      <c r="C221" s="27" t="s">
        <v>190</v>
      </c>
      <c r="D221" s="227">
        <f>-(H119+H123)</f>
        <v>-34316853.909249127</v>
      </c>
      <c r="E221" s="44"/>
      <c r="F221" s="44"/>
      <c r="N221" s="9"/>
      <c r="O221" s="9"/>
      <c r="P221" s="9"/>
    </row>
    <row r="222" spans="1:16" s="4" customFormat="1" ht="14.4" x14ac:dyDescent="0.3">
      <c r="A222" s="10"/>
      <c r="B222" s="10"/>
      <c r="C222" s="27" t="s">
        <v>189</v>
      </c>
      <c r="D222" s="227">
        <f>H103</f>
        <v>9115958.4961916395</v>
      </c>
      <c r="E222" s="44"/>
      <c r="F222" s="44"/>
      <c r="N222" s="9"/>
      <c r="O222" s="9"/>
      <c r="P222" s="9"/>
    </row>
    <row r="223" spans="1:16" s="4" customFormat="1" ht="14.4" x14ac:dyDescent="0.3">
      <c r="A223" s="10"/>
      <c r="B223" s="10"/>
      <c r="C223" s="7" t="s">
        <v>2</v>
      </c>
      <c r="D223" s="226">
        <f>SUM(D220:D222)</f>
        <v>381266757.28154427</v>
      </c>
      <c r="E223" s="44"/>
      <c r="F223" s="44"/>
      <c r="I223" s="228"/>
      <c r="J223" s="228"/>
      <c r="K223" s="228"/>
      <c r="L223" s="228"/>
      <c r="M223" s="228"/>
      <c r="N223" s="228"/>
      <c r="O223" s="228"/>
      <c r="P223" s="9"/>
    </row>
    <row r="224" spans="1:16" s="4" customFormat="1" ht="14.4" x14ac:dyDescent="0.3">
      <c r="A224" s="10"/>
      <c r="B224" s="10"/>
      <c r="C224" s="27"/>
      <c r="D224" s="6"/>
      <c r="E224" s="44"/>
      <c r="F224" s="44"/>
      <c r="I224" s="228"/>
      <c r="J224" s="228"/>
      <c r="K224" s="228"/>
      <c r="L224" s="228"/>
      <c r="M224" s="228"/>
      <c r="N224" s="228"/>
      <c r="O224" s="228"/>
      <c r="P224" s="9"/>
    </row>
    <row r="225" spans="1:16" s="4" customFormat="1" ht="14.4" x14ac:dyDescent="0.3">
      <c r="A225" s="10"/>
      <c r="B225" s="10"/>
      <c r="C225" s="5" t="s">
        <v>193</v>
      </c>
      <c r="D225" s="230">
        <f>P73</f>
        <v>110803891.62929353</v>
      </c>
      <c r="E225" s="44"/>
      <c r="F225" s="44"/>
      <c r="I225" s="228"/>
      <c r="J225" s="228"/>
      <c r="K225" s="228"/>
      <c r="L225" s="228"/>
      <c r="M225" s="228"/>
      <c r="N225" s="228"/>
      <c r="O225" s="228"/>
      <c r="P225" s="9"/>
    </row>
    <row r="226" spans="1:16" s="4" customFormat="1" ht="14.4" x14ac:dyDescent="0.3">
      <c r="A226" s="10"/>
      <c r="B226" s="10"/>
      <c r="C226" s="35" t="s">
        <v>194</v>
      </c>
      <c r="D226" s="226">
        <f>D214*D225</f>
        <v>664823349.77576113</v>
      </c>
      <c r="E226" s="44"/>
      <c r="F226" s="44"/>
      <c r="I226" s="228"/>
      <c r="J226" s="228"/>
      <c r="K226" s="228"/>
      <c r="L226" s="228"/>
      <c r="M226" s="228"/>
      <c r="N226" s="228"/>
      <c r="O226" s="228"/>
      <c r="P226" s="9"/>
    </row>
    <row r="227" spans="1:16" s="4" customFormat="1" ht="14.4" x14ac:dyDescent="0.3">
      <c r="A227" s="10"/>
      <c r="B227" s="10"/>
      <c r="E227" s="44"/>
      <c r="F227" s="44"/>
      <c r="I227" s="228"/>
      <c r="J227" s="228"/>
      <c r="K227" s="228"/>
      <c r="L227" s="228"/>
      <c r="M227" s="228"/>
      <c r="N227" s="228"/>
      <c r="O227" s="228"/>
      <c r="P227" s="9"/>
    </row>
    <row r="228" spans="1:16" s="4" customFormat="1" ht="14.4" x14ac:dyDescent="0.3">
      <c r="A228" s="10"/>
      <c r="B228" s="10"/>
      <c r="E228" s="44"/>
      <c r="F228" s="44"/>
      <c r="G228" s="44"/>
      <c r="H228" s="44"/>
      <c r="I228" s="228"/>
      <c r="J228" s="228"/>
      <c r="K228" s="228"/>
      <c r="L228" s="228"/>
      <c r="M228" s="228"/>
      <c r="N228" s="228"/>
      <c r="O228" s="228"/>
      <c r="P228" s="9"/>
    </row>
    <row r="229" spans="1:16" s="4" customFormat="1" ht="14.4" x14ac:dyDescent="0.3">
      <c r="A229" s="10"/>
      <c r="B229" s="10"/>
      <c r="E229" s="44"/>
      <c r="F229" s="44"/>
      <c r="G229" s="44"/>
      <c r="H229" s="44"/>
      <c r="I229" s="228"/>
      <c r="J229" s="228"/>
      <c r="K229" s="228"/>
      <c r="L229" s="228"/>
      <c r="M229" s="228"/>
      <c r="N229" s="228"/>
      <c r="O229" s="228"/>
      <c r="P229" s="9"/>
    </row>
    <row r="230" spans="1:16" s="4" customFormat="1" ht="14.4" x14ac:dyDescent="0.3">
      <c r="A230" s="10"/>
      <c r="B230" s="10"/>
      <c r="E230" s="44"/>
      <c r="F230" s="44"/>
      <c r="G230" s="44"/>
      <c r="H230" s="44"/>
      <c r="I230" s="228"/>
      <c r="J230" s="228"/>
      <c r="K230" s="228"/>
      <c r="L230" s="228"/>
      <c r="M230" s="228"/>
      <c r="N230" s="228"/>
      <c r="O230" s="228"/>
      <c r="P230" s="9"/>
    </row>
    <row r="231" spans="1:16" s="4" customFormat="1" ht="14.4" x14ac:dyDescent="0.3">
      <c r="A231" s="10"/>
      <c r="B231" s="10"/>
      <c r="E231" s="44"/>
      <c r="F231" s="44"/>
      <c r="G231" s="44"/>
      <c r="H231" s="44"/>
      <c r="I231" s="228"/>
      <c r="J231" s="228"/>
      <c r="K231" s="228"/>
      <c r="L231" s="228"/>
      <c r="M231" s="228"/>
      <c r="N231" s="228"/>
      <c r="O231" s="228"/>
      <c r="P231" s="9"/>
    </row>
    <row r="232" spans="1:16" s="4" customFormat="1" ht="14.4" x14ac:dyDescent="0.3">
      <c r="A232" s="10"/>
      <c r="B232" s="10"/>
      <c r="E232" s="44"/>
      <c r="F232" s="44"/>
      <c r="G232" s="44"/>
      <c r="H232" s="44"/>
      <c r="I232" s="228"/>
      <c r="J232" s="228"/>
      <c r="K232" s="228"/>
      <c r="L232" s="228"/>
      <c r="M232" s="228"/>
      <c r="N232" s="228"/>
      <c r="O232" s="228"/>
      <c r="P232" s="9"/>
    </row>
    <row r="233" spans="1:16" s="4" customFormat="1" ht="14.4" x14ac:dyDescent="0.3">
      <c r="A233" s="10"/>
      <c r="B233" s="10"/>
      <c r="E233" s="44"/>
      <c r="F233" s="44"/>
      <c r="G233" s="44"/>
      <c r="H233" s="44"/>
      <c r="I233" s="228"/>
      <c r="J233" s="228"/>
      <c r="K233" s="228"/>
      <c r="L233" s="228"/>
      <c r="M233" s="228"/>
      <c r="N233" s="228"/>
      <c r="O233" s="228"/>
      <c r="P233" s="9"/>
    </row>
    <row r="234" spans="1:16" s="4" customFormat="1" ht="14.4" x14ac:dyDescent="0.3">
      <c r="A234" s="10"/>
      <c r="B234" s="10"/>
      <c r="E234" s="44"/>
      <c r="F234" s="44"/>
      <c r="G234" s="44"/>
      <c r="H234" s="44"/>
      <c r="I234" s="228"/>
      <c r="J234" s="228"/>
      <c r="K234" s="228"/>
      <c r="L234" s="228"/>
      <c r="M234" s="228"/>
      <c r="N234" s="228"/>
      <c r="O234" s="228"/>
      <c r="P234" s="9"/>
    </row>
    <row r="235" spans="1:16" s="4" customFormat="1" ht="14.4" x14ac:dyDescent="0.3">
      <c r="A235" s="10"/>
      <c r="B235" s="10"/>
      <c r="E235" s="44"/>
      <c r="F235" s="44"/>
      <c r="G235" s="44"/>
      <c r="H235" s="44"/>
      <c r="I235" s="228"/>
      <c r="J235" s="228"/>
      <c r="K235" s="228"/>
      <c r="L235" s="228"/>
      <c r="M235" s="228"/>
      <c r="N235" s="228"/>
      <c r="O235" s="228"/>
      <c r="P235" s="9"/>
    </row>
    <row r="236" spans="1:16" s="4" customFormat="1" ht="14.4" x14ac:dyDescent="0.3">
      <c r="A236" s="10"/>
      <c r="B236" s="10"/>
      <c r="E236" s="44"/>
      <c r="F236" s="44"/>
      <c r="G236" s="44"/>
      <c r="H236" s="44"/>
      <c r="I236" s="228"/>
      <c r="J236" s="228"/>
      <c r="K236" s="228"/>
      <c r="L236" s="228"/>
      <c r="M236" s="228"/>
      <c r="N236" s="228"/>
      <c r="O236" s="228"/>
      <c r="P236" s="9"/>
    </row>
    <row r="237" spans="1:16" s="4" customFormat="1" ht="14.4" x14ac:dyDescent="0.3">
      <c r="A237" s="10"/>
      <c r="B237" s="10"/>
      <c r="E237" s="44"/>
      <c r="F237" s="44"/>
      <c r="G237" s="44"/>
      <c r="H237" s="44"/>
      <c r="I237" s="228"/>
      <c r="J237" s="228"/>
      <c r="K237" s="228"/>
      <c r="L237" s="228"/>
      <c r="M237" s="228"/>
      <c r="N237" s="228"/>
      <c r="O237" s="228"/>
      <c r="P237" s="9"/>
    </row>
    <row r="238" spans="1:16" s="4" customFormat="1" ht="14.4" x14ac:dyDescent="0.3">
      <c r="E238" s="44"/>
      <c r="F238" s="44"/>
      <c r="G238" s="44"/>
      <c r="H238" s="44"/>
      <c r="I238" s="228"/>
      <c r="J238" s="228"/>
      <c r="K238" s="228"/>
      <c r="L238" s="228"/>
      <c r="M238" s="228"/>
      <c r="N238" s="228"/>
      <c r="O238" s="228"/>
      <c r="P238" s="9"/>
    </row>
    <row r="239" spans="1:16" s="4" customFormat="1" ht="14.4" x14ac:dyDescent="0.3">
      <c r="E239" s="44"/>
      <c r="F239" s="44"/>
      <c r="G239" s="44"/>
      <c r="H239" s="44"/>
      <c r="I239" s="228"/>
      <c r="J239" s="228"/>
      <c r="K239" s="228"/>
      <c r="L239" s="228"/>
      <c r="M239" s="228"/>
      <c r="N239" s="228"/>
      <c r="O239" s="228"/>
      <c r="P239" s="9"/>
    </row>
    <row r="240" spans="1:16" s="4" customFormat="1" ht="14.4" x14ac:dyDescent="0.3">
      <c r="E240" s="44"/>
      <c r="F240" s="44"/>
      <c r="G240" s="44"/>
      <c r="H240" s="44"/>
      <c r="I240" s="228"/>
      <c r="J240" s="228"/>
      <c r="K240" s="228"/>
      <c r="L240" s="228"/>
      <c r="M240" s="228"/>
      <c r="N240" s="228"/>
      <c r="O240" s="228"/>
      <c r="P240" s="9"/>
    </row>
    <row r="241" spans="5:16" s="4" customFormat="1" ht="14.4" x14ac:dyDescent="0.3">
      <c r="E241" s="44"/>
      <c r="F241" s="44"/>
      <c r="G241" s="44"/>
      <c r="H241" s="44"/>
      <c r="I241" s="228"/>
      <c r="J241" s="228"/>
      <c r="K241" s="228"/>
      <c r="L241" s="228"/>
      <c r="M241" s="228"/>
      <c r="N241" s="228"/>
      <c r="O241" s="228"/>
      <c r="P241" s="9"/>
    </row>
    <row r="242" spans="5:16" s="4" customFormat="1" ht="14.4" x14ac:dyDescent="0.3">
      <c r="E242" s="44"/>
      <c r="F242" s="44"/>
      <c r="G242" s="44"/>
      <c r="H242" s="44"/>
      <c r="I242" s="228"/>
      <c r="J242" s="228"/>
      <c r="K242" s="228"/>
      <c r="L242" s="228"/>
      <c r="M242" s="228"/>
      <c r="N242" s="228"/>
      <c r="O242" s="228"/>
      <c r="P242" s="9"/>
    </row>
    <row r="243" spans="5:16" s="4" customFormat="1" ht="14.4" x14ac:dyDescent="0.3">
      <c r="E243" s="44"/>
      <c r="F243" s="44"/>
      <c r="G243" s="44"/>
      <c r="H243" s="44"/>
      <c r="I243" s="228"/>
      <c r="J243" s="228"/>
      <c r="K243" s="228"/>
      <c r="L243" s="228"/>
      <c r="M243" s="228"/>
      <c r="N243" s="228"/>
      <c r="O243" s="228"/>
      <c r="P243" s="9"/>
    </row>
    <row r="244" spans="5:16" s="4" customFormat="1" ht="14.4" x14ac:dyDescent="0.3">
      <c r="E244" s="44"/>
      <c r="F244" s="44"/>
      <c r="G244" s="44"/>
      <c r="H244" s="44"/>
      <c r="I244" s="228"/>
      <c r="J244" s="228"/>
      <c r="K244" s="228"/>
      <c r="L244" s="228"/>
      <c r="M244" s="228"/>
      <c r="N244" s="228"/>
      <c r="O244" s="228"/>
      <c r="P244" s="9"/>
    </row>
    <row r="245" spans="5:16" s="4" customFormat="1" ht="14.4" x14ac:dyDescent="0.3">
      <c r="E245" s="44"/>
      <c r="F245" s="44"/>
      <c r="G245" s="44"/>
      <c r="H245" s="44"/>
      <c r="I245" s="228"/>
      <c r="J245" s="228"/>
      <c r="K245" s="228"/>
      <c r="L245" s="228"/>
      <c r="M245" s="228"/>
      <c r="N245" s="228"/>
      <c r="O245" s="228"/>
      <c r="P245" s="9"/>
    </row>
    <row r="246" spans="5:16" s="4" customFormat="1" ht="14.4" x14ac:dyDescent="0.3">
      <c r="E246" s="44"/>
      <c r="F246" s="44"/>
      <c r="G246" s="44"/>
      <c r="H246" s="44"/>
      <c r="I246" s="228"/>
      <c r="J246" s="228"/>
      <c r="K246" s="228"/>
      <c r="L246" s="228"/>
      <c r="M246" s="228"/>
      <c r="N246" s="228"/>
      <c r="O246" s="228"/>
      <c r="P246" s="9"/>
    </row>
    <row r="247" spans="5:16" s="4" customFormat="1" ht="14.4" x14ac:dyDescent="0.3">
      <c r="E247" s="44"/>
      <c r="F247" s="44"/>
      <c r="G247" s="44"/>
      <c r="H247" s="44"/>
      <c r="I247" s="228"/>
      <c r="J247" s="228"/>
      <c r="K247" s="228"/>
      <c r="L247" s="228"/>
      <c r="M247" s="228"/>
      <c r="N247" s="228"/>
      <c r="O247" s="228"/>
      <c r="P247" s="9"/>
    </row>
    <row r="248" spans="5:16" s="4" customFormat="1" ht="14.4" x14ac:dyDescent="0.3">
      <c r="E248" s="44"/>
      <c r="F248" s="44"/>
      <c r="G248" s="44"/>
      <c r="H248" s="44"/>
      <c r="I248" s="228"/>
      <c r="J248" s="228"/>
      <c r="K248" s="228"/>
      <c r="L248" s="228"/>
      <c r="M248" s="228"/>
      <c r="N248" s="228"/>
      <c r="O248" s="228"/>
      <c r="P248" s="9"/>
    </row>
    <row r="249" spans="5:16" s="4" customFormat="1" ht="14.4" x14ac:dyDescent="0.3">
      <c r="E249" s="44"/>
      <c r="F249" s="44"/>
      <c r="G249" s="44"/>
      <c r="H249" s="44"/>
      <c r="I249" s="228"/>
      <c r="J249" s="228"/>
      <c r="K249" s="228"/>
      <c r="L249" s="228"/>
      <c r="M249" s="228"/>
      <c r="N249" s="228"/>
      <c r="O249" s="228"/>
      <c r="P249" s="9"/>
    </row>
    <row r="250" spans="5:16" s="4" customFormat="1" ht="14.4" x14ac:dyDescent="0.3">
      <c r="E250" s="44"/>
      <c r="F250" s="44"/>
      <c r="G250" s="44"/>
      <c r="H250" s="44"/>
      <c r="I250" s="228"/>
      <c r="J250" s="228"/>
      <c r="K250" s="228"/>
      <c r="L250" s="228"/>
      <c r="M250" s="228"/>
      <c r="N250" s="228"/>
      <c r="O250" s="228"/>
      <c r="P250" s="9"/>
    </row>
    <row r="251" spans="5:16" s="4" customFormat="1" ht="14.4" x14ac:dyDescent="0.3">
      <c r="E251" s="44"/>
      <c r="F251" s="44"/>
      <c r="G251" s="44"/>
      <c r="H251" s="44"/>
      <c r="I251" s="228"/>
      <c r="J251" s="228"/>
      <c r="K251" s="228"/>
      <c r="L251" s="228"/>
      <c r="M251" s="228"/>
      <c r="N251" s="228"/>
      <c r="O251" s="228"/>
      <c r="P251" s="9"/>
    </row>
    <row r="252" spans="5:16" s="4" customFormat="1" ht="14.4" x14ac:dyDescent="0.3">
      <c r="E252" s="44"/>
      <c r="F252" s="44"/>
      <c r="G252" s="44"/>
      <c r="H252" s="44"/>
      <c r="I252" s="228"/>
      <c r="J252" s="228"/>
      <c r="K252" s="228"/>
      <c r="L252" s="228"/>
      <c r="M252" s="228"/>
      <c r="N252" s="228"/>
      <c r="O252" s="228"/>
      <c r="P252" s="9"/>
    </row>
    <row r="253" spans="5:16" s="4" customFormat="1" ht="14.4" x14ac:dyDescent="0.3">
      <c r="E253" s="44"/>
      <c r="F253" s="44"/>
      <c r="G253" s="44"/>
      <c r="H253" s="44"/>
      <c r="I253" s="9"/>
      <c r="J253" s="9"/>
      <c r="K253" s="9"/>
      <c r="L253" s="9"/>
      <c r="M253" s="9"/>
      <c r="N253" s="9"/>
      <c r="O253" s="9"/>
      <c r="P253" s="9"/>
    </row>
    <row r="254" spans="5:16" s="4" customFormat="1" ht="14.4" x14ac:dyDescent="0.3">
      <c r="E254" s="44"/>
      <c r="F254" s="44"/>
      <c r="G254" s="44"/>
      <c r="H254" s="44"/>
      <c r="I254" s="9"/>
      <c r="J254" s="9"/>
      <c r="K254" s="9"/>
      <c r="L254" s="9"/>
      <c r="M254" s="9"/>
      <c r="N254" s="9"/>
      <c r="O254" s="9"/>
      <c r="P254" s="9"/>
    </row>
    <row r="255" spans="5:16" s="4" customFormat="1" ht="14.4" x14ac:dyDescent="0.3">
      <c r="E255" s="44"/>
      <c r="F255" s="44"/>
      <c r="G255" s="44"/>
      <c r="H255" s="44"/>
      <c r="I255" s="9"/>
      <c r="J255" s="9"/>
      <c r="K255" s="9"/>
      <c r="L255" s="9"/>
      <c r="M255" s="9"/>
      <c r="N255" s="9"/>
      <c r="O255" s="9"/>
      <c r="P255" s="9"/>
    </row>
    <row r="256" spans="5:16" s="4" customFormat="1" ht="14.4" x14ac:dyDescent="0.3">
      <c r="E256" s="44"/>
      <c r="F256" s="44"/>
      <c r="G256" s="44"/>
      <c r="H256" s="44"/>
      <c r="I256" s="9"/>
      <c r="J256" s="9"/>
      <c r="K256" s="9"/>
      <c r="L256" s="9"/>
      <c r="M256" s="9"/>
      <c r="N256" s="9"/>
      <c r="O256" s="9"/>
      <c r="P256" s="9"/>
    </row>
    <row r="257" spans="1:16" s="4" customFormat="1" ht="14.4" x14ac:dyDescent="0.3">
      <c r="E257" s="44"/>
      <c r="F257" s="44"/>
      <c r="G257" s="44"/>
      <c r="H257" s="44"/>
      <c r="I257" s="9"/>
      <c r="J257" s="9"/>
      <c r="K257" s="9"/>
      <c r="L257" s="9"/>
      <c r="M257" s="9"/>
      <c r="N257" s="9"/>
      <c r="O257" s="9"/>
      <c r="P257" s="9"/>
    </row>
    <row r="258" spans="1:16" s="4" customFormat="1" ht="14.4" x14ac:dyDescent="0.3">
      <c r="E258" s="44"/>
      <c r="F258" s="44"/>
      <c r="G258" s="44"/>
      <c r="H258" s="44"/>
      <c r="I258" s="9"/>
      <c r="J258" s="9"/>
      <c r="K258" s="9"/>
      <c r="L258" s="9"/>
      <c r="M258" s="9"/>
      <c r="N258" s="9"/>
      <c r="O258" s="9"/>
      <c r="P258" s="9"/>
    </row>
    <row r="259" spans="1:16" s="4" customFormat="1" ht="14.4" x14ac:dyDescent="0.3">
      <c r="E259" s="44"/>
      <c r="F259" s="44"/>
      <c r="G259" s="44"/>
      <c r="H259" s="44"/>
      <c r="I259" s="9"/>
      <c r="J259" s="9"/>
      <c r="K259" s="9"/>
      <c r="L259" s="9"/>
      <c r="M259" s="9"/>
      <c r="N259" s="9"/>
      <c r="O259" s="9"/>
      <c r="P259" s="9"/>
    </row>
    <row r="260" spans="1:16" s="4" customFormat="1" ht="14.4" x14ac:dyDescent="0.3">
      <c r="A260" s="10"/>
      <c r="B260" s="10"/>
      <c r="I260" s="9"/>
      <c r="J260" s="9"/>
      <c r="K260" s="9"/>
      <c r="L260" s="9"/>
      <c r="M260" s="9"/>
      <c r="N260" s="9"/>
      <c r="O260" s="9"/>
      <c r="P260" s="9"/>
    </row>
    <row r="261" spans="1:16" s="4" customFormat="1" ht="14.4" x14ac:dyDescent="0.3">
      <c r="A261" s="10"/>
      <c r="B261" s="10"/>
      <c r="I261" s="9"/>
      <c r="J261" s="9"/>
      <c r="K261" s="9"/>
      <c r="L261" s="9"/>
      <c r="M261" s="9"/>
      <c r="N261" s="9"/>
      <c r="O261" s="9"/>
      <c r="P261" s="9"/>
    </row>
    <row r="262" spans="1:16" s="4" customFormat="1" ht="14.4" x14ac:dyDescent="0.3">
      <c r="A262" s="10"/>
      <c r="B262" s="10"/>
      <c r="I262" s="9"/>
      <c r="J262" s="9"/>
      <c r="K262" s="9"/>
      <c r="L262" s="9"/>
      <c r="M262" s="9"/>
      <c r="N262" s="9"/>
      <c r="O262" s="9"/>
      <c r="P262" s="9"/>
    </row>
    <row r="263" spans="1:16" s="4" customFormat="1" ht="14.4" x14ac:dyDescent="0.3">
      <c r="A263" s="10"/>
      <c r="B263" s="10"/>
      <c r="I263" s="9"/>
      <c r="J263" s="9"/>
      <c r="K263" s="9"/>
      <c r="L263" s="9"/>
      <c r="M263" s="9"/>
      <c r="N263" s="9"/>
      <c r="O263" s="9"/>
      <c r="P263" s="9"/>
    </row>
    <row r="264" spans="1:16" s="4" customFormat="1" ht="14.4" x14ac:dyDescent="0.3">
      <c r="A264" s="10"/>
      <c r="B264" s="10"/>
      <c r="I264" s="9"/>
      <c r="J264" s="9"/>
      <c r="K264" s="9"/>
      <c r="L264" s="9"/>
      <c r="M264" s="9"/>
      <c r="N264" s="9"/>
      <c r="O264" s="9"/>
      <c r="P264" s="9"/>
    </row>
    <row r="265" spans="1:16" s="4" customFormat="1" ht="14.4" x14ac:dyDescent="0.3">
      <c r="A265" s="10"/>
      <c r="B265" s="10"/>
      <c r="I265" s="9"/>
      <c r="J265" s="9"/>
      <c r="K265" s="9"/>
      <c r="L265" s="9"/>
      <c r="M265" s="9"/>
      <c r="N265" s="9"/>
      <c r="O265" s="9"/>
      <c r="P265" s="9"/>
    </row>
    <row r="266" spans="1:16" s="4" customFormat="1" ht="14.4" x14ac:dyDescent="0.3">
      <c r="I266" s="9"/>
      <c r="J266" s="9"/>
      <c r="K266" s="9"/>
      <c r="L266" s="9"/>
      <c r="M266" s="9"/>
      <c r="N266" s="9"/>
      <c r="O266" s="9"/>
      <c r="P266" s="9"/>
    </row>
    <row r="267" spans="1:16" s="4" customFormat="1" ht="14.4" x14ac:dyDescent="0.3">
      <c r="I267" s="9"/>
      <c r="J267" s="9"/>
      <c r="K267" s="9"/>
      <c r="L267" s="9"/>
      <c r="M267" s="9"/>
      <c r="N267" s="9"/>
      <c r="O267" s="9"/>
      <c r="P267" s="9"/>
    </row>
    <row r="268" spans="1:16" s="4" customFormat="1" ht="14.4" x14ac:dyDescent="0.3">
      <c r="I268" s="9"/>
      <c r="J268" s="9"/>
      <c r="K268" s="9"/>
      <c r="L268" s="9"/>
      <c r="M268" s="9"/>
      <c r="N268" s="9"/>
      <c r="O268" s="9"/>
      <c r="P268" s="9"/>
    </row>
    <row r="269" spans="1:16" s="4" customFormat="1" ht="14.4" x14ac:dyDescent="0.3">
      <c r="I269" s="9"/>
      <c r="J269" s="9"/>
      <c r="K269" s="9"/>
      <c r="L269" s="9"/>
      <c r="M269" s="9"/>
      <c r="N269" s="9"/>
      <c r="O269" s="9"/>
      <c r="P269" s="9"/>
    </row>
    <row r="270" spans="1:16" s="4" customFormat="1" ht="14.4" x14ac:dyDescent="0.3">
      <c r="I270" s="9"/>
      <c r="J270" s="9"/>
      <c r="K270" s="9"/>
      <c r="L270" s="9"/>
      <c r="M270" s="9"/>
      <c r="N270" s="9"/>
      <c r="O270" s="9"/>
      <c r="P270" s="9"/>
    </row>
    <row r="271" spans="1:16" s="4" customFormat="1" ht="14.4" x14ac:dyDescent="0.3">
      <c r="I271" s="9"/>
      <c r="J271" s="9"/>
      <c r="K271" s="9"/>
      <c r="L271" s="9"/>
      <c r="M271" s="9"/>
      <c r="N271" s="9"/>
      <c r="O271" s="9"/>
      <c r="P271" s="9"/>
    </row>
    <row r="272" spans="1:16" s="4" customFormat="1" ht="14.4" x14ac:dyDescent="0.3">
      <c r="I272" s="9"/>
      <c r="J272" s="9"/>
      <c r="K272" s="9"/>
      <c r="L272" s="9"/>
      <c r="M272" s="9"/>
      <c r="N272" s="9"/>
      <c r="O272" s="9"/>
      <c r="P272" s="9"/>
    </row>
    <row r="273" spans="9:16" s="4" customFormat="1" ht="14.4" x14ac:dyDescent="0.3">
      <c r="I273" s="9"/>
      <c r="J273" s="9"/>
      <c r="K273" s="9"/>
      <c r="L273" s="9"/>
      <c r="M273" s="9"/>
      <c r="N273" s="9"/>
      <c r="O273" s="9"/>
      <c r="P273" s="9"/>
    </row>
    <row r="274" spans="9:16" s="4" customFormat="1" ht="14.4" x14ac:dyDescent="0.3">
      <c r="I274" s="9"/>
      <c r="J274" s="9"/>
      <c r="K274" s="9"/>
      <c r="L274" s="9"/>
      <c r="M274" s="9"/>
      <c r="N274" s="9"/>
      <c r="O274" s="9"/>
      <c r="P274" s="9"/>
    </row>
    <row r="275" spans="9:16" s="4" customFormat="1" ht="14.4" x14ac:dyDescent="0.3">
      <c r="I275" s="9"/>
      <c r="J275" s="9"/>
      <c r="K275" s="9"/>
      <c r="L275" s="9"/>
      <c r="M275" s="9"/>
      <c r="N275" s="9"/>
      <c r="O275" s="9"/>
      <c r="P275" s="9"/>
    </row>
    <row r="276" spans="9:16" s="4" customFormat="1" ht="14.4" x14ac:dyDescent="0.3">
      <c r="I276" s="9"/>
      <c r="J276" s="9"/>
      <c r="K276" s="9"/>
      <c r="L276" s="9"/>
      <c r="M276" s="9"/>
      <c r="N276" s="9"/>
      <c r="O276" s="9"/>
      <c r="P276" s="9"/>
    </row>
    <row r="277" spans="9:16" s="4" customFormat="1" ht="14.4" x14ac:dyDescent="0.3">
      <c r="I277" s="9"/>
      <c r="J277" s="9"/>
      <c r="K277" s="9"/>
      <c r="L277" s="9"/>
      <c r="M277" s="9"/>
      <c r="N277" s="9"/>
      <c r="O277" s="9"/>
      <c r="P277" s="9"/>
    </row>
    <row r="278" spans="9:16" s="4" customFormat="1" ht="14.4" x14ac:dyDescent="0.3">
      <c r="I278" s="9"/>
      <c r="J278" s="9"/>
      <c r="K278" s="9"/>
      <c r="L278" s="9"/>
      <c r="M278" s="9"/>
      <c r="N278" s="9"/>
      <c r="O278" s="9"/>
      <c r="P278" s="9"/>
    </row>
    <row r="279" spans="9:16" s="4" customFormat="1" ht="14.4" x14ac:dyDescent="0.3">
      <c r="I279" s="9"/>
      <c r="J279" s="9"/>
      <c r="K279" s="9"/>
      <c r="L279" s="9"/>
      <c r="M279" s="9"/>
      <c r="N279" s="9"/>
      <c r="O279" s="9"/>
      <c r="P279" s="9"/>
    </row>
    <row r="280" spans="9:16" s="4" customFormat="1" ht="14.4" x14ac:dyDescent="0.3">
      <c r="I280" s="9"/>
      <c r="J280" s="9"/>
      <c r="K280" s="9"/>
      <c r="L280" s="9"/>
      <c r="M280" s="9"/>
      <c r="N280" s="9"/>
      <c r="O280" s="9"/>
      <c r="P280" s="9"/>
    </row>
    <row r="281" spans="9:16" s="4" customFormat="1" ht="14.4" x14ac:dyDescent="0.3">
      <c r="I281" s="9"/>
      <c r="J281" s="9"/>
      <c r="K281" s="9"/>
      <c r="L281" s="9"/>
      <c r="M281" s="9"/>
      <c r="N281" s="9"/>
      <c r="O281" s="9"/>
      <c r="P281" s="9"/>
    </row>
    <row r="282" spans="9:16" s="4" customFormat="1" ht="14.4" x14ac:dyDescent="0.3">
      <c r="I282" s="9"/>
      <c r="J282" s="9"/>
      <c r="K282" s="9"/>
      <c r="L282" s="9"/>
      <c r="M282" s="9"/>
      <c r="N282" s="9"/>
      <c r="O282" s="9"/>
      <c r="P282" s="9"/>
    </row>
    <row r="283" spans="9:16" s="4" customFormat="1" ht="14.4" x14ac:dyDescent="0.3">
      <c r="I283" s="9"/>
      <c r="J283" s="9"/>
      <c r="K283" s="9"/>
      <c r="L283" s="9"/>
      <c r="M283" s="9"/>
      <c r="N283" s="9"/>
      <c r="O283" s="9"/>
      <c r="P283" s="9"/>
    </row>
    <row r="284" spans="9:16" s="4" customFormat="1" ht="14.4" x14ac:dyDescent="0.3">
      <c r="I284" s="9"/>
      <c r="J284" s="9"/>
      <c r="K284" s="9"/>
      <c r="L284" s="9"/>
      <c r="M284" s="9"/>
      <c r="N284" s="9"/>
      <c r="O284" s="9"/>
      <c r="P284" s="9"/>
    </row>
    <row r="285" spans="9:16" s="4" customFormat="1" ht="14.4" x14ac:dyDescent="0.3">
      <c r="I285" s="9"/>
      <c r="J285" s="9"/>
      <c r="K285" s="9"/>
      <c r="L285" s="9"/>
      <c r="M285" s="9"/>
      <c r="N285" s="9"/>
      <c r="O285" s="9"/>
      <c r="P285" s="9"/>
    </row>
    <row r="286" spans="9:16" s="4" customFormat="1" ht="14.4" x14ac:dyDescent="0.3">
      <c r="I286" s="9"/>
      <c r="J286" s="9"/>
      <c r="K286" s="9"/>
      <c r="L286" s="9"/>
      <c r="M286" s="9"/>
      <c r="N286" s="9"/>
      <c r="O286" s="9"/>
      <c r="P286" s="9"/>
    </row>
    <row r="287" spans="9:16" s="4" customFormat="1" ht="14.4" x14ac:dyDescent="0.3">
      <c r="I287" s="9"/>
      <c r="J287" s="9"/>
      <c r="K287" s="9"/>
      <c r="L287" s="9"/>
      <c r="M287" s="9"/>
      <c r="N287" s="9"/>
      <c r="O287" s="9"/>
      <c r="P287" s="9"/>
    </row>
    <row r="288" spans="9:16" s="4" customFormat="1" ht="14.4" x14ac:dyDescent="0.3">
      <c r="I288" s="9"/>
      <c r="J288" s="9"/>
      <c r="K288" s="9"/>
      <c r="L288" s="9"/>
      <c r="M288" s="9"/>
      <c r="N288" s="9"/>
      <c r="O288" s="9"/>
      <c r="P288" s="9"/>
    </row>
    <row r="289" spans="9:16" s="4" customFormat="1" ht="14.4" x14ac:dyDescent="0.3">
      <c r="I289" s="9"/>
      <c r="J289" s="9"/>
      <c r="K289" s="9"/>
      <c r="L289" s="9"/>
      <c r="M289" s="9"/>
      <c r="N289" s="9"/>
      <c r="O289" s="9"/>
      <c r="P289" s="9"/>
    </row>
    <row r="290" spans="9:16" s="4" customFormat="1" ht="14.4" x14ac:dyDescent="0.3">
      <c r="I290" s="9"/>
      <c r="J290" s="9"/>
      <c r="K290" s="9"/>
      <c r="L290" s="9"/>
      <c r="M290" s="9"/>
      <c r="N290" s="9"/>
      <c r="O290" s="9"/>
      <c r="P290" s="9"/>
    </row>
    <row r="291" spans="9:16" s="4" customFormat="1" ht="14.4" x14ac:dyDescent="0.3">
      <c r="I291" s="9"/>
      <c r="J291" s="9"/>
      <c r="K291" s="9"/>
      <c r="L291" s="9"/>
      <c r="M291" s="9"/>
      <c r="N291" s="9"/>
      <c r="O291" s="9"/>
      <c r="P291" s="9"/>
    </row>
    <row r="292" spans="9:16" s="4" customFormat="1" ht="14.4" x14ac:dyDescent="0.3">
      <c r="I292" s="9"/>
      <c r="J292" s="9"/>
      <c r="K292" s="9"/>
      <c r="L292" s="9"/>
      <c r="M292" s="9"/>
      <c r="N292" s="9"/>
      <c r="O292" s="9"/>
      <c r="P292" s="9"/>
    </row>
    <row r="293" spans="9:16" s="4" customFormat="1" ht="14.4" x14ac:dyDescent="0.3">
      <c r="I293" s="9"/>
      <c r="J293" s="9"/>
      <c r="K293" s="9"/>
      <c r="L293" s="9"/>
      <c r="M293" s="9"/>
      <c r="N293" s="9"/>
      <c r="O293" s="9"/>
      <c r="P293" s="9"/>
    </row>
    <row r="294" spans="9:16" s="4" customFormat="1" ht="14.4" x14ac:dyDescent="0.3">
      <c r="I294" s="9"/>
      <c r="J294" s="9"/>
      <c r="K294" s="9"/>
      <c r="L294" s="9"/>
      <c r="M294" s="9"/>
      <c r="N294" s="9"/>
      <c r="O294" s="9"/>
      <c r="P294" s="9"/>
    </row>
    <row r="295" spans="9:16" s="4" customFormat="1" ht="14.4" x14ac:dyDescent="0.3">
      <c r="I295" s="9"/>
      <c r="J295" s="9"/>
      <c r="K295" s="9"/>
      <c r="L295" s="9"/>
      <c r="M295" s="9"/>
      <c r="N295" s="9"/>
      <c r="O295" s="9"/>
      <c r="P295" s="9"/>
    </row>
    <row r="296" spans="9:16" s="4" customFormat="1" ht="14.4" x14ac:dyDescent="0.3">
      <c r="I296" s="9"/>
      <c r="J296" s="9"/>
      <c r="K296" s="9"/>
      <c r="L296" s="9"/>
      <c r="M296" s="9"/>
      <c r="N296" s="9"/>
      <c r="O296" s="9"/>
      <c r="P296" s="9"/>
    </row>
    <row r="297" spans="9:16" s="4" customFormat="1" ht="14.4" x14ac:dyDescent="0.3">
      <c r="I297" s="9"/>
      <c r="J297" s="9"/>
      <c r="K297" s="9"/>
      <c r="L297" s="9"/>
      <c r="M297" s="9"/>
      <c r="N297" s="9"/>
      <c r="O297" s="9"/>
      <c r="P297" s="9"/>
    </row>
    <row r="298" spans="9:16" s="4" customFormat="1" ht="14.4" x14ac:dyDescent="0.3">
      <c r="I298" s="9"/>
      <c r="J298" s="9"/>
      <c r="K298" s="9"/>
      <c r="L298" s="9"/>
      <c r="M298" s="9"/>
      <c r="N298" s="9"/>
      <c r="O298" s="9"/>
      <c r="P298" s="9"/>
    </row>
    <row r="299" spans="9:16" s="4" customFormat="1" ht="14.4" x14ac:dyDescent="0.3">
      <c r="I299" s="9"/>
      <c r="J299" s="9"/>
      <c r="K299" s="9"/>
      <c r="L299" s="9"/>
      <c r="M299" s="9"/>
      <c r="N299" s="9"/>
      <c r="O299" s="9"/>
      <c r="P299" s="9"/>
    </row>
    <row r="300" spans="9:16" s="4" customFormat="1" ht="14.4" x14ac:dyDescent="0.3">
      <c r="I300" s="9"/>
      <c r="J300" s="9"/>
      <c r="K300" s="9"/>
      <c r="L300" s="9"/>
      <c r="M300" s="9"/>
      <c r="N300" s="9"/>
      <c r="O300" s="9"/>
      <c r="P300" s="9"/>
    </row>
    <row r="301" spans="9:16" s="4" customFormat="1" ht="14.4" x14ac:dyDescent="0.3">
      <c r="I301" s="9"/>
      <c r="J301" s="9"/>
      <c r="K301" s="9"/>
      <c r="L301" s="9"/>
      <c r="M301" s="9"/>
      <c r="N301" s="9"/>
      <c r="O301" s="9"/>
      <c r="P301" s="9"/>
    </row>
    <row r="302" spans="9:16" s="4" customFormat="1" ht="14.4" x14ac:dyDescent="0.3">
      <c r="I302" s="9"/>
      <c r="J302" s="9"/>
      <c r="K302" s="9"/>
      <c r="L302" s="9"/>
      <c r="M302" s="9"/>
      <c r="N302" s="9"/>
      <c r="O302" s="9"/>
      <c r="P302" s="9"/>
    </row>
    <row r="303" spans="9:16" s="4" customFormat="1" ht="14.4" x14ac:dyDescent="0.3">
      <c r="I303" s="9"/>
      <c r="J303" s="9"/>
      <c r="K303" s="9"/>
      <c r="L303" s="9"/>
      <c r="M303" s="9"/>
      <c r="N303" s="9"/>
      <c r="O303" s="9"/>
      <c r="P303" s="9"/>
    </row>
    <row r="304" spans="9:16" s="4" customFormat="1" ht="14.4" x14ac:dyDescent="0.3">
      <c r="I304" s="9"/>
      <c r="J304" s="9"/>
      <c r="K304" s="9"/>
      <c r="L304" s="9"/>
      <c r="M304" s="9"/>
      <c r="N304" s="9"/>
      <c r="O304" s="9"/>
      <c r="P304" s="9"/>
    </row>
    <row r="305" spans="9:16" s="4" customFormat="1" ht="14.4" x14ac:dyDescent="0.3">
      <c r="I305" s="9"/>
      <c r="J305" s="9"/>
      <c r="K305" s="9"/>
      <c r="L305" s="9"/>
      <c r="M305" s="9"/>
      <c r="N305" s="9"/>
      <c r="O305" s="9"/>
      <c r="P305" s="9"/>
    </row>
    <row r="306" spans="9:16" s="4" customFormat="1" ht="14.4" x14ac:dyDescent="0.3">
      <c r="I306" s="9"/>
      <c r="J306" s="9"/>
      <c r="K306" s="9"/>
      <c r="L306" s="9"/>
      <c r="M306" s="9"/>
      <c r="N306" s="9"/>
      <c r="O306" s="9"/>
      <c r="P306" s="9"/>
    </row>
    <row r="307" spans="9:16" s="4" customFormat="1" ht="14.4" x14ac:dyDescent="0.3">
      <c r="I307" s="9"/>
      <c r="J307" s="9"/>
      <c r="K307" s="9"/>
      <c r="L307" s="9"/>
      <c r="M307" s="9"/>
      <c r="N307" s="9"/>
      <c r="O307" s="9"/>
      <c r="P307" s="9"/>
    </row>
    <row r="308" spans="9:16" s="4" customFormat="1" ht="14.4" x14ac:dyDescent="0.3">
      <c r="I308" s="9"/>
      <c r="J308" s="9"/>
      <c r="K308" s="9"/>
      <c r="L308" s="9"/>
      <c r="M308" s="9"/>
      <c r="N308" s="9"/>
      <c r="O308" s="9"/>
      <c r="P308" s="9"/>
    </row>
    <row r="309" spans="9:16" s="4" customFormat="1" ht="14.4" x14ac:dyDescent="0.3">
      <c r="I309" s="9"/>
      <c r="J309" s="9"/>
      <c r="K309" s="9"/>
      <c r="L309" s="9"/>
      <c r="M309" s="9"/>
      <c r="N309" s="9"/>
      <c r="O309" s="9"/>
      <c r="P309" s="9"/>
    </row>
    <row r="310" spans="9:16" s="4" customFormat="1" ht="14.4" x14ac:dyDescent="0.3">
      <c r="I310" s="9"/>
      <c r="J310" s="9"/>
      <c r="K310" s="9"/>
      <c r="L310" s="9"/>
      <c r="M310" s="9"/>
      <c r="N310" s="9"/>
      <c r="O310" s="9"/>
      <c r="P310" s="9"/>
    </row>
    <row r="311" spans="9:16" s="4" customFormat="1" ht="14.4" x14ac:dyDescent="0.3">
      <c r="I311" s="9"/>
      <c r="J311" s="9"/>
      <c r="K311" s="9"/>
      <c r="L311" s="9"/>
      <c r="M311" s="9"/>
      <c r="N311" s="9"/>
      <c r="O311" s="9"/>
      <c r="P311" s="9"/>
    </row>
    <row r="312" spans="9:16" s="4" customFormat="1" ht="14.4" x14ac:dyDescent="0.3">
      <c r="I312" s="9"/>
      <c r="J312" s="9"/>
      <c r="K312" s="9"/>
      <c r="L312" s="9"/>
      <c r="M312" s="9"/>
      <c r="N312" s="9"/>
      <c r="O312" s="9"/>
      <c r="P312" s="9"/>
    </row>
    <row r="313" spans="9:16" s="4" customFormat="1" ht="14.4" x14ac:dyDescent="0.3">
      <c r="I313" s="9"/>
      <c r="J313" s="9"/>
      <c r="K313" s="9"/>
      <c r="L313" s="9"/>
      <c r="M313" s="9"/>
      <c r="N313" s="9"/>
      <c r="O313" s="9"/>
      <c r="P313" s="9"/>
    </row>
    <row r="314" spans="9:16" s="4" customFormat="1" ht="14.4" x14ac:dyDescent="0.3">
      <c r="I314" s="9"/>
      <c r="J314" s="9"/>
      <c r="K314" s="9"/>
      <c r="L314" s="9"/>
      <c r="M314" s="9"/>
      <c r="N314" s="9"/>
      <c r="O314" s="9"/>
      <c r="P314" s="9"/>
    </row>
    <row r="315" spans="9:16" s="4" customFormat="1" ht="14.4" x14ac:dyDescent="0.3">
      <c r="I315" s="9"/>
      <c r="J315" s="9"/>
      <c r="K315" s="9"/>
      <c r="L315" s="9"/>
      <c r="M315" s="9"/>
      <c r="N315" s="9"/>
      <c r="O315" s="9"/>
      <c r="P315" s="9"/>
    </row>
    <row r="316" spans="9:16" s="4" customFormat="1" ht="14.4" x14ac:dyDescent="0.3">
      <c r="I316" s="9"/>
      <c r="J316" s="9"/>
      <c r="K316" s="9"/>
      <c r="L316" s="9"/>
      <c r="M316" s="9"/>
      <c r="N316" s="9"/>
      <c r="O316" s="9"/>
      <c r="P316" s="9"/>
    </row>
    <row r="317" spans="9:16" s="4" customFormat="1" ht="14.4" x14ac:dyDescent="0.3">
      <c r="I317" s="9"/>
      <c r="J317" s="9"/>
      <c r="K317" s="9"/>
      <c r="L317" s="9"/>
      <c r="M317" s="9"/>
      <c r="N317" s="9"/>
      <c r="O317" s="9"/>
      <c r="P317" s="9"/>
    </row>
    <row r="318" spans="9:16" s="4" customFormat="1" ht="14.4" x14ac:dyDescent="0.3">
      <c r="I318" s="9"/>
      <c r="J318" s="9"/>
      <c r="K318" s="9"/>
      <c r="L318" s="9"/>
      <c r="M318" s="9"/>
      <c r="N318" s="9"/>
      <c r="O318" s="9"/>
      <c r="P318" s="9"/>
    </row>
    <row r="319" spans="9:16" s="4" customFormat="1" ht="14.4" x14ac:dyDescent="0.3">
      <c r="I319" s="9"/>
      <c r="J319" s="9"/>
      <c r="K319" s="9"/>
      <c r="L319" s="9"/>
      <c r="M319" s="9"/>
      <c r="N319" s="9"/>
      <c r="O319" s="9"/>
      <c r="P319" s="9"/>
    </row>
    <row r="320" spans="9:16" s="4" customFormat="1" ht="14.4" x14ac:dyDescent="0.3">
      <c r="I320" s="9"/>
      <c r="J320" s="9"/>
      <c r="K320" s="9"/>
      <c r="L320" s="9"/>
      <c r="M320" s="9"/>
      <c r="N320" s="9"/>
      <c r="O320" s="9"/>
      <c r="P320" s="9"/>
    </row>
    <row r="321" spans="9:16" s="4" customFormat="1" ht="14.4" x14ac:dyDescent="0.3">
      <c r="I321" s="9"/>
      <c r="J321" s="9"/>
      <c r="K321" s="9"/>
      <c r="L321" s="9"/>
      <c r="M321" s="9"/>
      <c r="N321" s="9"/>
      <c r="O321" s="9"/>
      <c r="P321" s="9"/>
    </row>
    <row r="322" spans="9:16" s="4" customFormat="1" ht="14.4" x14ac:dyDescent="0.3">
      <c r="I322" s="9"/>
      <c r="J322" s="9"/>
      <c r="K322" s="9"/>
      <c r="L322" s="9"/>
      <c r="M322" s="9"/>
      <c r="N322" s="9"/>
      <c r="O322" s="9"/>
      <c r="P322" s="9"/>
    </row>
    <row r="323" spans="9:16" s="4" customFormat="1" ht="14.4" x14ac:dyDescent="0.3">
      <c r="I323" s="9"/>
      <c r="J323" s="9"/>
      <c r="K323" s="9"/>
      <c r="L323" s="9"/>
      <c r="M323" s="9"/>
      <c r="N323" s="9"/>
      <c r="O323" s="9"/>
      <c r="P323" s="9"/>
    </row>
    <row r="324" spans="9:16" s="4" customFormat="1" ht="14.4" x14ac:dyDescent="0.3">
      <c r="I324" s="9"/>
      <c r="J324" s="9"/>
      <c r="K324" s="9"/>
      <c r="L324" s="9"/>
      <c r="M324" s="9"/>
      <c r="N324" s="9"/>
      <c r="O324" s="9"/>
      <c r="P324" s="9"/>
    </row>
    <row r="325" spans="9:16" s="4" customFormat="1" ht="14.4" x14ac:dyDescent="0.3">
      <c r="I325" s="9"/>
      <c r="J325" s="9"/>
      <c r="K325" s="9"/>
      <c r="L325" s="9"/>
      <c r="M325" s="9"/>
      <c r="N325" s="9"/>
      <c r="O325" s="9"/>
      <c r="P325" s="9"/>
    </row>
    <row r="326" spans="9:16" s="4" customFormat="1" ht="14.4" x14ac:dyDescent="0.3">
      <c r="I326" s="9"/>
      <c r="J326" s="9"/>
      <c r="K326" s="9"/>
      <c r="L326" s="9"/>
      <c r="M326" s="9"/>
      <c r="N326" s="9"/>
      <c r="O326" s="9"/>
      <c r="P326" s="9"/>
    </row>
    <row r="327" spans="9:16" s="4" customFormat="1" ht="14.4" x14ac:dyDescent="0.3">
      <c r="I327" s="9"/>
      <c r="J327" s="9"/>
      <c r="K327" s="9"/>
      <c r="L327" s="9"/>
      <c r="M327" s="9"/>
      <c r="N327" s="9"/>
      <c r="O327" s="9"/>
      <c r="P327" s="9"/>
    </row>
    <row r="328" spans="9:16" s="4" customFormat="1" ht="14.4" x14ac:dyDescent="0.3">
      <c r="I328" s="9"/>
      <c r="J328" s="9"/>
      <c r="K328" s="9"/>
      <c r="L328" s="9"/>
      <c r="M328" s="9"/>
      <c r="N328" s="9"/>
      <c r="O328" s="9"/>
      <c r="P328" s="9"/>
    </row>
    <row r="329" spans="9:16" s="4" customFormat="1" ht="14.4" x14ac:dyDescent="0.3">
      <c r="I329" s="9"/>
      <c r="J329" s="9"/>
      <c r="K329" s="9"/>
      <c r="L329" s="9"/>
      <c r="M329" s="9"/>
      <c r="N329" s="9"/>
      <c r="O329" s="9"/>
      <c r="P329" s="9"/>
    </row>
    <row r="330" spans="9:16" s="4" customFormat="1" ht="14.4" x14ac:dyDescent="0.3">
      <c r="I330" s="9"/>
      <c r="J330" s="9"/>
      <c r="K330" s="9"/>
      <c r="L330" s="9"/>
      <c r="M330" s="9"/>
      <c r="N330" s="9"/>
      <c r="O330" s="9"/>
      <c r="P330" s="9"/>
    </row>
    <row r="331" spans="9:16" s="4" customFormat="1" ht="14.4" x14ac:dyDescent="0.3">
      <c r="I331" s="9"/>
      <c r="J331" s="9"/>
      <c r="K331" s="9"/>
      <c r="L331" s="9"/>
      <c r="M331" s="9"/>
      <c r="N331" s="9"/>
      <c r="O331" s="9"/>
      <c r="P331" s="9"/>
    </row>
    <row r="332" spans="9:16" s="4" customFormat="1" ht="14.4" x14ac:dyDescent="0.3">
      <c r="I332" s="9"/>
      <c r="J332" s="9"/>
      <c r="K332" s="9"/>
      <c r="L332" s="9"/>
      <c r="M332" s="9"/>
      <c r="N332" s="9"/>
      <c r="O332" s="9"/>
      <c r="P332" s="9"/>
    </row>
    <row r="333" spans="9:16" s="4" customFormat="1" ht="14.4" x14ac:dyDescent="0.3">
      <c r="I333" s="9"/>
      <c r="J333" s="9"/>
      <c r="K333" s="9"/>
      <c r="L333" s="9"/>
      <c r="M333" s="9"/>
      <c r="N333" s="9"/>
      <c r="O333" s="9"/>
      <c r="P333" s="9"/>
    </row>
    <row r="334" spans="9:16" s="4" customFormat="1" ht="14.4" x14ac:dyDescent="0.3">
      <c r="I334" s="9"/>
      <c r="J334" s="9"/>
      <c r="K334" s="9"/>
      <c r="L334" s="9"/>
      <c r="M334" s="9"/>
      <c r="N334" s="9"/>
      <c r="O334" s="9"/>
      <c r="P334" s="9"/>
    </row>
    <row r="335" spans="9:16" s="4" customFormat="1" ht="14.4" x14ac:dyDescent="0.3">
      <c r="I335" s="9"/>
      <c r="J335" s="9"/>
      <c r="K335" s="9"/>
      <c r="L335" s="9"/>
      <c r="M335" s="9"/>
      <c r="N335" s="9"/>
      <c r="O335" s="9"/>
      <c r="P335" s="9"/>
    </row>
    <row r="336" spans="9:16" s="4" customFormat="1" ht="14.4" x14ac:dyDescent="0.3">
      <c r="I336" s="9"/>
      <c r="J336" s="9"/>
      <c r="K336" s="9"/>
      <c r="L336" s="9"/>
      <c r="M336" s="9"/>
      <c r="N336" s="9"/>
      <c r="O336" s="9"/>
      <c r="P336" s="9"/>
    </row>
    <row r="337" spans="1:16" s="4" customFormat="1" ht="14.4" x14ac:dyDescent="0.3">
      <c r="I337" s="9"/>
      <c r="J337" s="9"/>
      <c r="K337" s="9"/>
      <c r="L337" s="9"/>
      <c r="M337" s="9"/>
      <c r="N337" s="9"/>
      <c r="O337" s="9"/>
      <c r="P337" s="9"/>
    </row>
    <row r="338" spans="1:16" s="4" customFormat="1" ht="14.4" x14ac:dyDescent="0.3">
      <c r="I338" s="9"/>
      <c r="J338" s="9"/>
      <c r="K338" s="9"/>
      <c r="L338" s="9"/>
      <c r="M338" s="9"/>
      <c r="N338" s="9"/>
      <c r="O338" s="9"/>
      <c r="P338" s="9"/>
    </row>
    <row r="339" spans="1:16" s="4" customFormat="1" ht="14.4" x14ac:dyDescent="0.3">
      <c r="I339" s="9"/>
      <c r="J339" s="9"/>
      <c r="K339" s="9"/>
      <c r="L339" s="9"/>
      <c r="M339" s="9"/>
      <c r="N339" s="9"/>
      <c r="O339" s="9"/>
      <c r="P339" s="9"/>
    </row>
    <row r="340" spans="1:16" s="4" customFormat="1" ht="14.4" x14ac:dyDescent="0.3">
      <c r="I340" s="9"/>
      <c r="J340" s="9"/>
      <c r="K340" s="9"/>
      <c r="L340" s="9"/>
      <c r="M340" s="9"/>
      <c r="N340" s="9"/>
      <c r="O340" s="9"/>
      <c r="P340" s="9"/>
    </row>
    <row r="341" spans="1:16" s="4" customFormat="1" ht="14.4" x14ac:dyDescent="0.3">
      <c r="I341" s="9"/>
      <c r="J341" s="9"/>
      <c r="K341" s="9"/>
      <c r="L341" s="9"/>
      <c r="M341" s="9"/>
      <c r="N341" s="9"/>
      <c r="O341" s="9"/>
      <c r="P341" s="9"/>
    </row>
    <row r="342" spans="1:16" s="4" customFormat="1" ht="14.4" x14ac:dyDescent="0.3">
      <c r="I342" s="9"/>
      <c r="J342" s="9"/>
      <c r="K342" s="9"/>
      <c r="L342" s="9"/>
      <c r="M342" s="9"/>
      <c r="N342" s="9"/>
      <c r="O342" s="9"/>
      <c r="P342" s="9"/>
    </row>
    <row r="343" spans="1:16" s="4" customFormat="1" ht="14.4" x14ac:dyDescent="0.3">
      <c r="I343" s="9"/>
      <c r="J343" s="9"/>
      <c r="K343" s="9"/>
      <c r="L343" s="9"/>
      <c r="M343" s="9"/>
      <c r="N343" s="9"/>
      <c r="O343" s="9"/>
      <c r="P343" s="9"/>
    </row>
    <row r="344" spans="1:16" s="4" customFormat="1" ht="14.4" x14ac:dyDescent="0.3">
      <c r="I344" s="9"/>
      <c r="J344" s="9"/>
      <c r="K344" s="9"/>
      <c r="L344" s="9"/>
      <c r="M344" s="9"/>
      <c r="N344" s="9"/>
      <c r="O344" s="9"/>
      <c r="P344" s="9"/>
    </row>
    <row r="345" spans="1:16" s="4" customFormat="1" ht="14.4" x14ac:dyDescent="0.3">
      <c r="I345" s="9"/>
      <c r="J345" s="9"/>
      <c r="K345" s="9"/>
      <c r="L345" s="9"/>
      <c r="M345" s="9"/>
      <c r="N345" s="9"/>
      <c r="O345" s="9"/>
      <c r="P345" s="9"/>
    </row>
    <row r="346" spans="1:16" s="4" customFormat="1" ht="14.4" x14ac:dyDescent="0.3">
      <c r="I346" s="9"/>
      <c r="J346" s="9"/>
      <c r="K346" s="9"/>
      <c r="L346" s="9"/>
      <c r="M346" s="9"/>
      <c r="N346" s="9"/>
      <c r="O346" s="9"/>
      <c r="P346" s="9"/>
    </row>
    <row r="347" spans="1:16" s="4" customFormat="1" ht="14.4" x14ac:dyDescent="0.3">
      <c r="I347" s="9"/>
      <c r="J347" s="9"/>
      <c r="K347" s="9"/>
      <c r="L347" s="9"/>
      <c r="M347" s="9"/>
      <c r="N347" s="9"/>
      <c r="O347" s="9"/>
      <c r="P347" s="9"/>
    </row>
    <row r="348" spans="1:16" s="4" customFormat="1" ht="14.4" x14ac:dyDescent="0.3">
      <c r="I348" s="9"/>
      <c r="J348" s="9"/>
      <c r="K348" s="9"/>
      <c r="L348" s="9"/>
      <c r="M348" s="9"/>
      <c r="N348" s="9"/>
      <c r="O348" s="9"/>
      <c r="P348" s="9"/>
    </row>
    <row r="349" spans="1:16" s="4" customFormat="1" ht="14.4" x14ac:dyDescent="0.3">
      <c r="I349" s="9"/>
      <c r="J349" s="9"/>
      <c r="K349" s="9"/>
      <c r="L349" s="9"/>
      <c r="M349" s="9"/>
      <c r="N349" s="9"/>
      <c r="O349" s="9"/>
      <c r="P349" s="9"/>
    </row>
    <row r="350" spans="1:16" s="4" customFormat="1" ht="14.4" x14ac:dyDescent="0.3">
      <c r="I350" s="9"/>
      <c r="J350" s="9"/>
      <c r="K350" s="9"/>
      <c r="L350" s="9"/>
      <c r="M350" s="9"/>
      <c r="N350" s="9"/>
      <c r="O350" s="9"/>
      <c r="P350" s="9"/>
    </row>
    <row r="351" spans="1:16" x14ac:dyDescent="0.3">
      <c r="A351" s="1"/>
      <c r="B351" s="1"/>
      <c r="I351" s="112"/>
      <c r="J351" s="112"/>
      <c r="K351" s="112"/>
      <c r="L351" s="112"/>
      <c r="M351" s="112"/>
      <c r="N351" s="112"/>
      <c r="O351" s="112"/>
      <c r="P351" s="112"/>
    </row>
    <row r="352" spans="1:16" x14ac:dyDescent="0.3">
      <c r="A352" s="1"/>
      <c r="B352" s="1"/>
      <c r="I352" s="112"/>
      <c r="J352" s="112"/>
      <c r="K352" s="112"/>
      <c r="L352" s="112"/>
      <c r="M352" s="112"/>
      <c r="N352" s="112"/>
      <c r="O352" s="112"/>
      <c r="P352" s="112"/>
    </row>
    <row r="353" spans="1:16" x14ac:dyDescent="0.3">
      <c r="A353" s="1"/>
      <c r="B353" s="1"/>
      <c r="I353" s="112"/>
      <c r="J353" s="112"/>
      <c r="K353" s="112"/>
      <c r="L353" s="112"/>
      <c r="M353" s="112"/>
      <c r="N353" s="112"/>
      <c r="O353" s="112"/>
      <c r="P353" s="112"/>
    </row>
    <row r="354" spans="1:16" x14ac:dyDescent="0.3">
      <c r="A354" s="1"/>
      <c r="B354" s="1"/>
      <c r="I354" s="112"/>
      <c r="J354" s="112"/>
      <c r="K354" s="112"/>
      <c r="L354" s="112"/>
      <c r="M354" s="112"/>
      <c r="N354" s="112"/>
      <c r="O354" s="112"/>
      <c r="P354" s="112"/>
    </row>
    <row r="355" spans="1:16" x14ac:dyDescent="0.3">
      <c r="A355" s="1"/>
      <c r="B355" s="1"/>
      <c r="I355" s="112"/>
      <c r="J355" s="112"/>
      <c r="K355" s="112"/>
      <c r="L355" s="112"/>
      <c r="M355" s="112"/>
      <c r="N355" s="112"/>
      <c r="O355" s="112"/>
      <c r="P355" s="112"/>
    </row>
    <row r="356" spans="1:16" x14ac:dyDescent="0.3">
      <c r="A356" s="1"/>
      <c r="B356" s="1"/>
      <c r="I356" s="112"/>
      <c r="J356" s="112"/>
      <c r="K356" s="112"/>
      <c r="L356" s="112"/>
      <c r="M356" s="112"/>
      <c r="N356" s="112"/>
      <c r="O356" s="112"/>
      <c r="P356" s="112"/>
    </row>
    <row r="357" spans="1:16" x14ac:dyDescent="0.3">
      <c r="A357" s="1"/>
      <c r="B357" s="1"/>
      <c r="I357" s="112"/>
      <c r="J357" s="112"/>
      <c r="K357" s="112"/>
      <c r="L357" s="112"/>
      <c r="M357" s="112"/>
      <c r="N357" s="112"/>
      <c r="O357" s="112"/>
      <c r="P357" s="112"/>
    </row>
    <row r="358" spans="1:16" x14ac:dyDescent="0.3">
      <c r="A358" s="1"/>
      <c r="B358" s="1"/>
      <c r="I358" s="112"/>
      <c r="J358" s="112"/>
      <c r="K358" s="112"/>
      <c r="L358" s="112"/>
      <c r="M358" s="112"/>
      <c r="N358" s="112"/>
      <c r="O358" s="112"/>
      <c r="P358" s="112"/>
    </row>
    <row r="359" spans="1:16" x14ac:dyDescent="0.3">
      <c r="A359" s="1"/>
      <c r="B359" s="1"/>
      <c r="I359" s="112"/>
      <c r="J359" s="112"/>
      <c r="K359" s="112"/>
      <c r="L359" s="112"/>
      <c r="M359" s="112"/>
      <c r="N359" s="112"/>
      <c r="O359" s="112"/>
      <c r="P359" s="112"/>
    </row>
    <row r="360" spans="1:16" x14ac:dyDescent="0.3">
      <c r="A360" s="1"/>
      <c r="B360" s="1"/>
      <c r="I360" s="112"/>
      <c r="J360" s="112"/>
      <c r="K360" s="112"/>
      <c r="L360" s="112"/>
      <c r="M360" s="112"/>
      <c r="N360" s="112"/>
      <c r="O360" s="112"/>
      <c r="P360" s="112"/>
    </row>
    <row r="361" spans="1:16" x14ac:dyDescent="0.3">
      <c r="A361" s="1"/>
      <c r="B361" s="1"/>
      <c r="I361" s="112"/>
      <c r="J361" s="112"/>
      <c r="K361" s="112"/>
      <c r="L361" s="112"/>
      <c r="M361" s="112"/>
      <c r="N361" s="112"/>
      <c r="O361" s="112"/>
      <c r="P361" s="112"/>
    </row>
    <row r="362" spans="1:16" x14ac:dyDescent="0.3">
      <c r="A362" s="1"/>
      <c r="B362" s="1"/>
      <c r="I362" s="112"/>
      <c r="J362" s="112"/>
      <c r="K362" s="112"/>
      <c r="L362" s="112"/>
      <c r="M362" s="112"/>
      <c r="N362" s="112"/>
      <c r="O362" s="112"/>
      <c r="P362" s="112"/>
    </row>
    <row r="363" spans="1:16" x14ac:dyDescent="0.3">
      <c r="A363" s="1"/>
      <c r="B363" s="1"/>
      <c r="I363" s="112"/>
      <c r="J363" s="112"/>
      <c r="K363" s="112"/>
      <c r="L363" s="112"/>
      <c r="M363" s="112"/>
      <c r="N363" s="112"/>
      <c r="O363" s="112"/>
      <c r="P363" s="112"/>
    </row>
    <row r="364" spans="1:16" x14ac:dyDescent="0.3">
      <c r="A364" s="1"/>
      <c r="B364" s="1"/>
      <c r="I364" s="112"/>
      <c r="J364" s="112"/>
      <c r="K364" s="112"/>
      <c r="L364" s="112"/>
      <c r="M364" s="112"/>
      <c r="N364" s="112"/>
      <c r="O364" s="112"/>
      <c r="P364" s="112"/>
    </row>
    <row r="365" spans="1:16" x14ac:dyDescent="0.3">
      <c r="A365" s="1"/>
      <c r="B365" s="1"/>
      <c r="I365" s="112"/>
      <c r="J365" s="112"/>
      <c r="K365" s="112"/>
      <c r="L365" s="112"/>
      <c r="M365" s="112"/>
      <c r="N365" s="112"/>
      <c r="O365" s="112"/>
      <c r="P365" s="112"/>
    </row>
    <row r="366" spans="1:16" x14ac:dyDescent="0.3">
      <c r="A366" s="1"/>
      <c r="B366" s="1"/>
      <c r="I366" s="112"/>
      <c r="J366" s="112"/>
      <c r="K366" s="112"/>
      <c r="L366" s="112"/>
      <c r="M366" s="112"/>
      <c r="N366" s="112"/>
      <c r="O366" s="112"/>
      <c r="P366" s="112"/>
    </row>
    <row r="367" spans="1:16" x14ac:dyDescent="0.3">
      <c r="A367" s="1"/>
      <c r="B367" s="1"/>
      <c r="I367" s="112"/>
      <c r="J367" s="112"/>
      <c r="K367" s="112"/>
      <c r="L367" s="112"/>
      <c r="M367" s="112"/>
      <c r="N367" s="112"/>
      <c r="O367" s="112"/>
      <c r="P367" s="112"/>
    </row>
    <row r="368" spans="1:16" x14ac:dyDescent="0.3">
      <c r="A368" s="1"/>
      <c r="B368" s="1"/>
      <c r="I368" s="112"/>
      <c r="J368" s="112"/>
      <c r="K368" s="112"/>
      <c r="L368" s="112"/>
      <c r="M368" s="112"/>
      <c r="N368" s="112"/>
      <c r="O368" s="112"/>
      <c r="P368" s="112"/>
    </row>
    <row r="369" spans="1:16" x14ac:dyDescent="0.3">
      <c r="A369" s="1"/>
      <c r="B369" s="1"/>
      <c r="I369" s="112"/>
      <c r="J369" s="112"/>
      <c r="K369" s="112"/>
      <c r="L369" s="112"/>
      <c r="M369" s="112"/>
      <c r="N369" s="112"/>
      <c r="O369" s="112"/>
      <c r="P369" s="112"/>
    </row>
    <row r="370" spans="1:16" x14ac:dyDescent="0.3">
      <c r="A370" s="1"/>
      <c r="B370" s="1"/>
      <c r="I370" s="112"/>
      <c r="J370" s="112"/>
      <c r="K370" s="112"/>
      <c r="L370" s="112"/>
      <c r="M370" s="112"/>
      <c r="N370" s="112"/>
      <c r="O370" s="112"/>
      <c r="P370" s="112"/>
    </row>
    <row r="371" spans="1:16" x14ac:dyDescent="0.3">
      <c r="A371" s="1"/>
      <c r="B371" s="1"/>
      <c r="I371" s="112"/>
      <c r="J371" s="112"/>
      <c r="K371" s="112"/>
      <c r="L371" s="112"/>
      <c r="M371" s="112"/>
      <c r="N371" s="112"/>
      <c r="O371" s="112"/>
      <c r="P371" s="112"/>
    </row>
    <row r="372" spans="1:16" x14ac:dyDescent="0.3">
      <c r="A372" s="1"/>
      <c r="B372" s="1"/>
      <c r="I372" s="112"/>
      <c r="J372" s="112"/>
      <c r="K372" s="112"/>
      <c r="L372" s="112"/>
      <c r="M372" s="112"/>
      <c r="N372" s="112"/>
      <c r="O372" s="112"/>
      <c r="P372" s="112"/>
    </row>
    <row r="373" spans="1:16" x14ac:dyDescent="0.3">
      <c r="A373" s="1"/>
      <c r="B373" s="1"/>
      <c r="I373" s="112"/>
      <c r="J373" s="112"/>
      <c r="K373" s="112"/>
      <c r="L373" s="112"/>
      <c r="M373" s="112"/>
      <c r="N373" s="112"/>
      <c r="O373" s="112"/>
      <c r="P373" s="112"/>
    </row>
    <row r="374" spans="1:16" x14ac:dyDescent="0.3">
      <c r="A374" s="1"/>
      <c r="B374" s="1"/>
      <c r="I374" s="112"/>
      <c r="J374" s="112"/>
      <c r="K374" s="112"/>
      <c r="L374" s="112"/>
      <c r="M374" s="112"/>
      <c r="N374" s="112"/>
      <c r="O374" s="112"/>
      <c r="P374" s="112"/>
    </row>
    <row r="375" spans="1:16" x14ac:dyDescent="0.3">
      <c r="A375" s="1"/>
      <c r="B375" s="1"/>
      <c r="I375" s="112"/>
      <c r="J375" s="112"/>
      <c r="K375" s="112"/>
      <c r="L375" s="112"/>
      <c r="M375" s="112"/>
      <c r="N375" s="112"/>
      <c r="O375" s="112"/>
      <c r="P375" s="112"/>
    </row>
    <row r="376" spans="1:16" x14ac:dyDescent="0.3">
      <c r="A376" s="1"/>
      <c r="B376" s="1"/>
      <c r="I376" s="112"/>
      <c r="J376" s="112"/>
      <c r="K376" s="112"/>
      <c r="L376" s="112"/>
      <c r="M376" s="112"/>
      <c r="N376" s="112"/>
      <c r="O376" s="112"/>
      <c r="P376" s="112"/>
    </row>
    <row r="377" spans="1:16" x14ac:dyDescent="0.3">
      <c r="A377" s="1"/>
      <c r="B377" s="1"/>
      <c r="I377" s="112"/>
      <c r="J377" s="112"/>
      <c r="K377" s="112"/>
      <c r="L377" s="112"/>
      <c r="M377" s="112"/>
      <c r="N377" s="112"/>
      <c r="O377" s="112"/>
      <c r="P377" s="112"/>
    </row>
    <row r="378" spans="1:16" x14ac:dyDescent="0.3">
      <c r="A378" s="1"/>
      <c r="B378" s="1"/>
      <c r="I378" s="112"/>
      <c r="J378" s="112"/>
      <c r="K378" s="112"/>
      <c r="L378" s="112"/>
      <c r="M378" s="112"/>
      <c r="N378" s="112"/>
      <c r="O378" s="112"/>
      <c r="P378" s="112"/>
    </row>
    <row r="379" spans="1:16" x14ac:dyDescent="0.3">
      <c r="A379" s="1"/>
      <c r="B379" s="1"/>
      <c r="I379" s="112"/>
      <c r="J379" s="112"/>
      <c r="K379" s="112"/>
      <c r="L379" s="112"/>
      <c r="M379" s="112"/>
      <c r="N379" s="112"/>
      <c r="O379" s="112"/>
      <c r="P379" s="112"/>
    </row>
    <row r="380" spans="1:16" x14ac:dyDescent="0.3">
      <c r="A380" s="1"/>
      <c r="B380" s="1"/>
      <c r="I380" s="112"/>
      <c r="J380" s="112"/>
      <c r="K380" s="112"/>
      <c r="L380" s="112"/>
      <c r="M380" s="112"/>
      <c r="N380" s="112"/>
      <c r="O380" s="112"/>
      <c r="P380" s="112"/>
    </row>
    <row r="381" spans="1:16" x14ac:dyDescent="0.3">
      <c r="A381" s="1"/>
      <c r="B381" s="1"/>
      <c r="I381" s="112"/>
      <c r="J381" s="112"/>
      <c r="K381" s="112"/>
      <c r="L381" s="112"/>
      <c r="M381" s="112"/>
      <c r="N381" s="112"/>
      <c r="O381" s="112"/>
      <c r="P381" s="112"/>
    </row>
    <row r="382" spans="1:16" x14ac:dyDescent="0.3">
      <c r="A382" s="1"/>
      <c r="B382" s="1"/>
      <c r="I382" s="112"/>
      <c r="J382" s="112"/>
      <c r="K382" s="112"/>
      <c r="L382" s="112"/>
      <c r="M382" s="112"/>
      <c r="N382" s="112"/>
      <c r="O382" s="112"/>
      <c r="P382" s="112"/>
    </row>
    <row r="383" spans="1:16" x14ac:dyDescent="0.3">
      <c r="A383" s="1"/>
      <c r="B383" s="1"/>
      <c r="I383" s="112"/>
      <c r="J383" s="112"/>
      <c r="K383" s="112"/>
      <c r="L383" s="112"/>
      <c r="M383" s="112"/>
      <c r="N383" s="112"/>
      <c r="O383" s="112"/>
      <c r="P383" s="112"/>
    </row>
    <row r="384" spans="1:16" x14ac:dyDescent="0.3">
      <c r="A384" s="1"/>
      <c r="B384" s="1"/>
      <c r="I384" s="112"/>
      <c r="J384" s="112"/>
      <c r="K384" s="112"/>
      <c r="L384" s="112"/>
      <c r="M384" s="112"/>
      <c r="N384" s="112"/>
      <c r="O384" s="112"/>
      <c r="P384" s="112"/>
    </row>
    <row r="385" spans="1:16" x14ac:dyDescent="0.3">
      <c r="A385" s="1"/>
      <c r="B385" s="1"/>
      <c r="I385" s="112"/>
      <c r="J385" s="112"/>
      <c r="K385" s="112"/>
      <c r="L385" s="112"/>
      <c r="M385" s="112"/>
      <c r="N385" s="112"/>
      <c r="O385" s="112"/>
      <c r="P385" s="112"/>
    </row>
    <row r="386" spans="1:16" x14ac:dyDescent="0.3">
      <c r="A386" s="1"/>
      <c r="B386" s="1"/>
      <c r="I386" s="112"/>
      <c r="J386" s="112"/>
      <c r="K386" s="112"/>
      <c r="L386" s="112"/>
      <c r="M386" s="112"/>
      <c r="N386" s="112"/>
      <c r="O386" s="112"/>
      <c r="P386" s="112"/>
    </row>
    <row r="387" spans="1:16" x14ac:dyDescent="0.3">
      <c r="A387" s="1"/>
      <c r="B387" s="1"/>
      <c r="I387" s="112"/>
      <c r="J387" s="112"/>
      <c r="K387" s="112"/>
      <c r="L387" s="112"/>
      <c r="M387" s="112"/>
      <c r="N387" s="112"/>
      <c r="O387" s="112"/>
      <c r="P387" s="112"/>
    </row>
    <row r="388" spans="1:16" x14ac:dyDescent="0.3">
      <c r="A388" s="1"/>
      <c r="B388" s="1"/>
      <c r="I388" s="112"/>
      <c r="J388" s="112"/>
      <c r="K388" s="112"/>
      <c r="L388" s="112"/>
      <c r="M388" s="112"/>
      <c r="N388" s="112"/>
      <c r="O388" s="112"/>
      <c r="P388" s="112"/>
    </row>
    <row r="389" spans="1:16" x14ac:dyDescent="0.3">
      <c r="A389" s="1"/>
      <c r="B389" s="1"/>
      <c r="I389" s="112"/>
      <c r="J389" s="112"/>
      <c r="K389" s="112"/>
      <c r="L389" s="112"/>
      <c r="M389" s="112"/>
      <c r="N389" s="112"/>
      <c r="O389" s="112"/>
      <c r="P389" s="112"/>
    </row>
    <row r="390" spans="1:16" x14ac:dyDescent="0.3">
      <c r="A390" s="1"/>
      <c r="B390" s="1"/>
      <c r="I390" s="112"/>
      <c r="J390" s="112"/>
      <c r="K390" s="112"/>
      <c r="L390" s="112"/>
      <c r="M390" s="112"/>
      <c r="N390" s="112"/>
      <c r="O390" s="112"/>
      <c r="P390" s="112"/>
    </row>
    <row r="391" spans="1:16" x14ac:dyDescent="0.3">
      <c r="A391" s="1"/>
      <c r="B391" s="1"/>
      <c r="I391" s="112"/>
      <c r="J391" s="112"/>
      <c r="K391" s="112"/>
      <c r="L391" s="112"/>
      <c r="M391" s="112"/>
      <c r="N391" s="112"/>
      <c r="O391" s="112"/>
      <c r="P391" s="112"/>
    </row>
    <row r="392" spans="1:16" x14ac:dyDescent="0.3">
      <c r="A392" s="1"/>
      <c r="B392" s="1"/>
      <c r="I392" s="112"/>
      <c r="J392" s="112"/>
      <c r="K392" s="112"/>
      <c r="L392" s="112"/>
      <c r="M392" s="112"/>
      <c r="N392" s="112"/>
      <c r="O392" s="112"/>
      <c r="P392" s="112"/>
    </row>
    <row r="393" spans="1:16" x14ac:dyDescent="0.3">
      <c r="A393" s="1"/>
      <c r="B393" s="1"/>
      <c r="I393" s="112"/>
      <c r="J393" s="112"/>
      <c r="K393" s="112"/>
      <c r="L393" s="112"/>
      <c r="M393" s="112"/>
      <c r="N393" s="112"/>
      <c r="O393" s="112"/>
      <c r="P393" s="112"/>
    </row>
    <row r="394" spans="1:16" x14ac:dyDescent="0.3">
      <c r="A394" s="1"/>
      <c r="B394" s="1"/>
      <c r="I394" s="112"/>
      <c r="J394" s="112"/>
      <c r="K394" s="112"/>
      <c r="L394" s="112"/>
      <c r="M394" s="112"/>
      <c r="N394" s="112"/>
      <c r="O394" s="112"/>
      <c r="P394" s="112"/>
    </row>
    <row r="395" spans="1:16" x14ac:dyDescent="0.3">
      <c r="A395" s="1"/>
      <c r="B395" s="1"/>
      <c r="I395" s="112"/>
      <c r="J395" s="112"/>
      <c r="K395" s="112"/>
      <c r="L395" s="112"/>
      <c r="M395" s="112"/>
      <c r="N395" s="112"/>
      <c r="O395" s="112"/>
      <c r="P395" s="112"/>
    </row>
    <row r="396" spans="1:16" x14ac:dyDescent="0.3">
      <c r="A396" s="1"/>
      <c r="B396" s="1"/>
      <c r="I396" s="112"/>
      <c r="J396" s="112"/>
      <c r="K396" s="112"/>
      <c r="L396" s="112"/>
      <c r="M396" s="112"/>
      <c r="N396" s="112"/>
      <c r="O396" s="112"/>
      <c r="P396" s="112"/>
    </row>
    <row r="397" spans="1:16" x14ac:dyDescent="0.3">
      <c r="A397" s="1"/>
      <c r="B397" s="1"/>
      <c r="I397" s="112"/>
      <c r="J397" s="112"/>
      <c r="K397" s="112"/>
      <c r="L397" s="112"/>
      <c r="M397" s="112"/>
      <c r="N397" s="112"/>
      <c r="O397" s="112"/>
      <c r="P397" s="112"/>
    </row>
    <row r="398" spans="1:16" x14ac:dyDescent="0.3">
      <c r="A398" s="1"/>
      <c r="B398" s="1"/>
      <c r="I398" s="112"/>
      <c r="J398" s="112"/>
      <c r="K398" s="112"/>
      <c r="L398" s="112"/>
      <c r="M398" s="112"/>
      <c r="N398" s="112"/>
      <c r="O398" s="112"/>
      <c r="P398" s="112"/>
    </row>
    <row r="399" spans="1:16" x14ac:dyDescent="0.3">
      <c r="A399" s="1"/>
      <c r="B399" s="1"/>
      <c r="I399" s="112"/>
      <c r="J399" s="112"/>
      <c r="K399" s="112"/>
      <c r="L399" s="112"/>
      <c r="M399" s="112"/>
      <c r="N399" s="112"/>
      <c r="O399" s="112"/>
      <c r="P399" s="112"/>
    </row>
    <row r="400" spans="1:16" x14ac:dyDescent="0.3">
      <c r="A400" s="1"/>
      <c r="B400" s="1"/>
      <c r="I400" s="112"/>
      <c r="J400" s="112"/>
      <c r="K400" s="112"/>
      <c r="L400" s="112"/>
      <c r="M400" s="112"/>
      <c r="N400" s="112"/>
      <c r="O400" s="112"/>
      <c r="P400" s="112"/>
    </row>
    <row r="401" spans="1:16" x14ac:dyDescent="0.3">
      <c r="A401" s="1"/>
      <c r="B401" s="1"/>
      <c r="I401" s="112"/>
      <c r="J401" s="112"/>
      <c r="K401" s="112"/>
      <c r="L401" s="112"/>
      <c r="M401" s="112"/>
      <c r="N401" s="112"/>
      <c r="O401" s="112"/>
      <c r="P401" s="112"/>
    </row>
    <row r="402" spans="1:16" x14ac:dyDescent="0.3">
      <c r="A402" s="1"/>
      <c r="B402" s="1"/>
      <c r="I402" s="112"/>
      <c r="J402" s="112"/>
      <c r="K402" s="112"/>
      <c r="L402" s="112"/>
      <c r="M402" s="112"/>
      <c r="N402" s="112"/>
      <c r="O402" s="112"/>
      <c r="P402" s="112"/>
    </row>
    <row r="403" spans="1:16" x14ac:dyDescent="0.3">
      <c r="A403" s="1"/>
      <c r="B403" s="1"/>
      <c r="I403" s="112"/>
      <c r="J403" s="112"/>
      <c r="K403" s="112"/>
      <c r="L403" s="112"/>
      <c r="M403" s="112"/>
      <c r="N403" s="112"/>
      <c r="O403" s="112"/>
      <c r="P403" s="112"/>
    </row>
    <row r="404" spans="1:16" x14ac:dyDescent="0.3">
      <c r="A404" s="1"/>
      <c r="B404" s="1"/>
      <c r="I404" s="112"/>
      <c r="J404" s="112"/>
      <c r="K404" s="112"/>
      <c r="L404" s="112"/>
      <c r="M404" s="112"/>
      <c r="N404" s="112"/>
      <c r="O404" s="112"/>
      <c r="P404" s="112"/>
    </row>
    <row r="405" spans="1:16" x14ac:dyDescent="0.3">
      <c r="A405" s="1"/>
      <c r="B405" s="1"/>
      <c r="I405" s="112"/>
      <c r="J405" s="112"/>
      <c r="K405" s="112"/>
      <c r="L405" s="112"/>
      <c r="M405" s="112"/>
      <c r="N405" s="112"/>
      <c r="O405" s="112"/>
      <c r="P405" s="112"/>
    </row>
    <row r="406" spans="1:16" x14ac:dyDescent="0.3">
      <c r="A406" s="1"/>
      <c r="B406" s="1"/>
      <c r="I406" s="112"/>
      <c r="J406" s="112"/>
      <c r="K406" s="112"/>
      <c r="L406" s="112"/>
      <c r="M406" s="112"/>
      <c r="N406" s="112"/>
      <c r="O406" s="112"/>
      <c r="P406" s="112"/>
    </row>
    <row r="407" spans="1:16" x14ac:dyDescent="0.3">
      <c r="A407" s="1"/>
      <c r="B407" s="1"/>
      <c r="I407" s="112"/>
      <c r="J407" s="112"/>
      <c r="K407" s="112"/>
      <c r="L407" s="112"/>
      <c r="M407" s="112"/>
      <c r="N407" s="112"/>
      <c r="O407" s="112"/>
      <c r="P407" s="112"/>
    </row>
    <row r="408" spans="1:16" x14ac:dyDescent="0.3">
      <c r="A408" s="1"/>
      <c r="B408" s="1"/>
      <c r="I408" s="112"/>
      <c r="J408" s="112"/>
      <c r="K408" s="112"/>
      <c r="L408" s="112"/>
      <c r="M408" s="112"/>
      <c r="N408" s="112"/>
      <c r="O408" s="112"/>
      <c r="P408" s="112"/>
    </row>
    <row r="409" spans="1:16" x14ac:dyDescent="0.3">
      <c r="A409" s="1"/>
      <c r="B409" s="1"/>
      <c r="I409" s="112"/>
      <c r="J409" s="112"/>
      <c r="K409" s="112"/>
      <c r="L409" s="112"/>
      <c r="M409" s="112"/>
      <c r="N409" s="112"/>
      <c r="O409" s="112"/>
      <c r="P409" s="112"/>
    </row>
    <row r="410" spans="1:16" x14ac:dyDescent="0.3">
      <c r="A410" s="1"/>
      <c r="B410" s="1"/>
      <c r="I410" s="112"/>
      <c r="J410" s="112"/>
      <c r="K410" s="112"/>
      <c r="L410" s="112"/>
      <c r="M410" s="112"/>
      <c r="N410" s="112"/>
      <c r="O410" s="112"/>
      <c r="P410" s="112"/>
    </row>
    <row r="411" spans="1:16" x14ac:dyDescent="0.3">
      <c r="A411" s="1"/>
      <c r="B411" s="1"/>
      <c r="I411" s="112"/>
      <c r="J411" s="112"/>
      <c r="K411" s="112"/>
      <c r="L411" s="112"/>
      <c r="M411" s="112"/>
      <c r="N411" s="112"/>
      <c r="O411" s="112"/>
      <c r="P411" s="112"/>
    </row>
    <row r="412" spans="1:16" x14ac:dyDescent="0.3">
      <c r="A412" s="1"/>
      <c r="B412" s="1"/>
      <c r="I412" s="112"/>
      <c r="J412" s="112"/>
      <c r="K412" s="112"/>
      <c r="L412" s="112"/>
      <c r="M412" s="112"/>
      <c r="N412" s="112"/>
      <c r="O412" s="112"/>
      <c r="P412" s="112"/>
    </row>
    <row r="413" spans="1:16" x14ac:dyDescent="0.3">
      <c r="A413" s="1"/>
      <c r="B413" s="1"/>
      <c r="I413" s="112"/>
      <c r="J413" s="112"/>
      <c r="K413" s="112"/>
      <c r="L413" s="112"/>
      <c r="M413" s="112"/>
      <c r="N413" s="112"/>
      <c r="O413" s="112"/>
      <c r="P413" s="112"/>
    </row>
    <row r="414" spans="1:16" x14ac:dyDescent="0.3">
      <c r="A414" s="1"/>
      <c r="B414" s="1"/>
      <c r="I414" s="112"/>
      <c r="J414" s="112"/>
      <c r="K414" s="112"/>
      <c r="L414" s="112"/>
      <c r="M414" s="112"/>
      <c r="N414" s="112"/>
      <c r="O414" s="112"/>
      <c r="P414" s="112"/>
    </row>
    <row r="415" spans="1:16" x14ac:dyDescent="0.3">
      <c r="A415" s="1"/>
      <c r="B415" s="1"/>
      <c r="I415" s="112"/>
      <c r="J415" s="112"/>
      <c r="K415" s="112"/>
      <c r="L415" s="112"/>
      <c r="M415" s="112"/>
      <c r="N415" s="112"/>
      <c r="O415" s="112"/>
      <c r="P415" s="112"/>
    </row>
    <row r="416" spans="1:16" x14ac:dyDescent="0.3">
      <c r="A416" s="1"/>
      <c r="B416" s="1"/>
      <c r="I416" s="112"/>
      <c r="J416" s="112"/>
      <c r="K416" s="112"/>
      <c r="L416" s="112"/>
      <c r="M416" s="112"/>
      <c r="N416" s="112"/>
      <c r="O416" s="112"/>
      <c r="P416" s="112"/>
    </row>
    <row r="417" spans="1:16" x14ac:dyDescent="0.3">
      <c r="A417" s="1"/>
      <c r="B417" s="1"/>
      <c r="I417" s="112"/>
      <c r="J417" s="112"/>
      <c r="K417" s="112"/>
      <c r="L417" s="112"/>
      <c r="M417" s="112"/>
      <c r="N417" s="112"/>
      <c r="O417" s="112"/>
      <c r="P417" s="112"/>
    </row>
    <row r="418" spans="1:16" x14ac:dyDescent="0.3">
      <c r="A418" s="1"/>
      <c r="B418" s="1"/>
      <c r="I418" s="112"/>
      <c r="J418" s="112"/>
      <c r="K418" s="112"/>
      <c r="L418" s="112"/>
      <c r="M418" s="112"/>
      <c r="N418" s="112"/>
      <c r="O418" s="112"/>
      <c r="P418" s="112"/>
    </row>
    <row r="419" spans="1:16" x14ac:dyDescent="0.3">
      <c r="A419" s="1"/>
      <c r="B419" s="1"/>
      <c r="I419" s="112"/>
      <c r="J419" s="112"/>
      <c r="K419" s="112"/>
      <c r="L419" s="112"/>
      <c r="M419" s="112"/>
      <c r="N419" s="112"/>
      <c r="O419" s="112"/>
      <c r="P419" s="112"/>
    </row>
    <row r="420" spans="1:16" x14ac:dyDescent="0.3">
      <c r="A420" s="1"/>
      <c r="B420" s="1"/>
      <c r="I420" s="112"/>
      <c r="J420" s="112"/>
      <c r="K420" s="112"/>
      <c r="L420" s="112"/>
      <c r="M420" s="112"/>
      <c r="N420" s="112"/>
      <c r="O420" s="112"/>
      <c r="P420" s="112"/>
    </row>
    <row r="421" spans="1:16" x14ac:dyDescent="0.3">
      <c r="A421" s="1"/>
      <c r="B421" s="1"/>
      <c r="I421" s="112"/>
      <c r="J421" s="112"/>
      <c r="K421" s="112"/>
      <c r="L421" s="112"/>
      <c r="M421" s="112"/>
      <c r="N421" s="112"/>
      <c r="O421" s="112"/>
      <c r="P421" s="112"/>
    </row>
    <row r="422" spans="1:16" x14ac:dyDescent="0.3">
      <c r="A422" s="1"/>
      <c r="B422" s="1"/>
      <c r="I422" s="112"/>
      <c r="J422" s="112"/>
      <c r="K422" s="112"/>
      <c r="L422" s="112"/>
      <c r="M422" s="112"/>
      <c r="N422" s="112"/>
      <c r="O422" s="112"/>
      <c r="P422" s="112"/>
    </row>
    <row r="423" spans="1:16" x14ac:dyDescent="0.3">
      <c r="A423" s="1"/>
      <c r="B423" s="1"/>
      <c r="I423" s="112"/>
      <c r="J423" s="112"/>
      <c r="K423" s="112"/>
      <c r="L423" s="112"/>
      <c r="M423" s="112"/>
      <c r="N423" s="112"/>
      <c r="O423" s="112"/>
      <c r="P423" s="112"/>
    </row>
    <row r="424" spans="1:16" x14ac:dyDescent="0.3">
      <c r="A424" s="1"/>
      <c r="B424" s="1"/>
      <c r="I424" s="112"/>
      <c r="J424" s="112"/>
      <c r="K424" s="112"/>
      <c r="L424" s="112"/>
      <c r="M424" s="112"/>
      <c r="N424" s="112"/>
      <c r="O424" s="112"/>
      <c r="P424" s="112"/>
    </row>
    <row r="425" spans="1:16" x14ac:dyDescent="0.3">
      <c r="A425" s="1"/>
      <c r="B425" s="1"/>
      <c r="I425" s="112"/>
      <c r="J425" s="112"/>
      <c r="K425" s="112"/>
      <c r="L425" s="112"/>
      <c r="M425" s="112"/>
      <c r="N425" s="112"/>
      <c r="O425" s="112"/>
      <c r="P425" s="112"/>
    </row>
    <row r="426" spans="1:16" x14ac:dyDescent="0.3">
      <c r="A426" s="1"/>
      <c r="B426" s="1"/>
      <c r="I426" s="112"/>
      <c r="J426" s="112"/>
      <c r="K426" s="112"/>
      <c r="L426" s="112"/>
      <c r="M426" s="112"/>
      <c r="N426" s="112"/>
      <c r="O426" s="112"/>
      <c r="P426" s="112"/>
    </row>
    <row r="427" spans="1:16" x14ac:dyDescent="0.3">
      <c r="A427" s="1"/>
      <c r="B427" s="1"/>
      <c r="I427" s="112"/>
      <c r="J427" s="112"/>
      <c r="K427" s="112"/>
      <c r="L427" s="112"/>
      <c r="M427" s="112"/>
      <c r="N427" s="112"/>
      <c r="O427" s="112"/>
      <c r="P427" s="112"/>
    </row>
    <row r="428" spans="1:16" x14ac:dyDescent="0.3">
      <c r="A428" s="1"/>
      <c r="B428" s="1"/>
      <c r="I428" s="112"/>
      <c r="J428" s="112"/>
      <c r="K428" s="112"/>
      <c r="L428" s="112"/>
      <c r="M428" s="112"/>
      <c r="N428" s="112"/>
      <c r="O428" s="112"/>
      <c r="P428" s="112"/>
    </row>
    <row r="429" spans="1:16" x14ac:dyDescent="0.3">
      <c r="A429" s="1"/>
      <c r="B429" s="1"/>
      <c r="I429" s="112"/>
      <c r="J429" s="112"/>
      <c r="K429" s="112"/>
      <c r="L429" s="112"/>
      <c r="M429" s="112"/>
      <c r="N429" s="112"/>
      <c r="O429" s="112"/>
      <c r="P429" s="112"/>
    </row>
    <row r="430" spans="1:16" x14ac:dyDescent="0.3">
      <c r="A430" s="1"/>
      <c r="B430" s="1"/>
      <c r="I430" s="112"/>
      <c r="J430" s="112"/>
      <c r="K430" s="112"/>
      <c r="L430" s="112"/>
      <c r="M430" s="112"/>
      <c r="N430" s="112"/>
      <c r="O430" s="112"/>
      <c r="P430" s="112"/>
    </row>
    <row r="431" spans="1:16" x14ac:dyDescent="0.3">
      <c r="A431" s="1"/>
      <c r="B431" s="1"/>
      <c r="I431" s="112"/>
      <c r="J431" s="112"/>
      <c r="K431" s="112"/>
      <c r="L431" s="112"/>
      <c r="M431" s="112"/>
      <c r="N431" s="112"/>
      <c r="O431" s="112"/>
      <c r="P431" s="112"/>
    </row>
    <row r="432" spans="1:16" x14ac:dyDescent="0.3">
      <c r="A432" s="1"/>
      <c r="B432" s="1"/>
      <c r="I432" s="112"/>
      <c r="J432" s="112"/>
      <c r="K432" s="112"/>
      <c r="L432" s="112"/>
      <c r="M432" s="112"/>
      <c r="N432" s="112"/>
      <c r="O432" s="112"/>
      <c r="P432" s="112"/>
    </row>
    <row r="433" spans="1:16" x14ac:dyDescent="0.3">
      <c r="A433" s="1"/>
      <c r="B433" s="1"/>
      <c r="I433" s="112"/>
      <c r="J433" s="112"/>
      <c r="K433" s="112"/>
      <c r="L433" s="112"/>
      <c r="M433" s="112"/>
      <c r="N433" s="112"/>
      <c r="O433" s="112"/>
      <c r="P433" s="112"/>
    </row>
    <row r="434" spans="1:16" x14ac:dyDescent="0.3">
      <c r="A434" s="1"/>
      <c r="B434" s="1"/>
      <c r="I434" s="112"/>
      <c r="J434" s="112"/>
      <c r="K434" s="112"/>
      <c r="L434" s="112"/>
      <c r="M434" s="112"/>
      <c r="N434" s="112"/>
      <c r="O434" s="112"/>
      <c r="P434" s="112"/>
    </row>
    <row r="435" spans="1:16" x14ac:dyDescent="0.3">
      <c r="A435" s="1"/>
      <c r="B435" s="1"/>
      <c r="I435" s="112"/>
      <c r="J435" s="112"/>
      <c r="K435" s="112"/>
      <c r="L435" s="112"/>
      <c r="M435" s="112"/>
      <c r="N435" s="112"/>
      <c r="O435" s="112"/>
      <c r="P435" s="112"/>
    </row>
    <row r="436" spans="1:16" x14ac:dyDescent="0.3">
      <c r="A436" s="1"/>
      <c r="B436" s="1"/>
      <c r="I436" s="112"/>
      <c r="J436" s="112"/>
      <c r="K436" s="112"/>
      <c r="L436" s="112"/>
      <c r="M436" s="112"/>
      <c r="N436" s="112"/>
      <c r="O436" s="112"/>
      <c r="P436" s="112"/>
    </row>
    <row r="437" spans="1:16" x14ac:dyDescent="0.3">
      <c r="A437" s="1"/>
      <c r="B437" s="1"/>
      <c r="I437" s="112"/>
      <c r="J437" s="112"/>
      <c r="K437" s="112"/>
      <c r="L437" s="112"/>
      <c r="M437" s="112"/>
      <c r="N437" s="112"/>
      <c r="O437" s="112"/>
      <c r="P437" s="112"/>
    </row>
    <row r="438" spans="1:16" x14ac:dyDescent="0.3">
      <c r="A438" s="1"/>
      <c r="B438" s="1"/>
      <c r="I438" s="112"/>
      <c r="J438" s="112"/>
      <c r="K438" s="112"/>
      <c r="L438" s="112"/>
      <c r="M438" s="112"/>
      <c r="N438" s="112"/>
      <c r="O438" s="112"/>
      <c r="P438" s="112"/>
    </row>
    <row r="439" spans="1:16" x14ac:dyDescent="0.3">
      <c r="A439" s="1"/>
      <c r="B439" s="1"/>
      <c r="I439" s="112"/>
      <c r="J439" s="112"/>
      <c r="K439" s="112"/>
      <c r="L439" s="112"/>
      <c r="M439" s="112"/>
      <c r="N439" s="112"/>
      <c r="O439" s="112"/>
      <c r="P439" s="112"/>
    </row>
    <row r="440" spans="1:16" x14ac:dyDescent="0.3">
      <c r="A440" s="1"/>
      <c r="B440" s="1"/>
      <c r="I440" s="112"/>
      <c r="J440" s="112"/>
      <c r="K440" s="112"/>
      <c r="L440" s="112"/>
      <c r="M440" s="112"/>
      <c r="N440" s="112"/>
      <c r="O440" s="112"/>
      <c r="P440" s="112"/>
    </row>
    <row r="441" spans="1:16" x14ac:dyDescent="0.3">
      <c r="A441" s="1"/>
      <c r="B441" s="1"/>
      <c r="I441" s="112"/>
      <c r="J441" s="112"/>
      <c r="K441" s="112"/>
      <c r="L441" s="112"/>
      <c r="M441" s="112"/>
      <c r="N441" s="112"/>
      <c r="O441" s="112"/>
      <c r="P441" s="112"/>
    </row>
    <row r="442" spans="1:16" x14ac:dyDescent="0.3">
      <c r="A442" s="1"/>
      <c r="B442" s="1"/>
      <c r="I442" s="112"/>
      <c r="J442" s="112"/>
      <c r="K442" s="112"/>
      <c r="L442" s="112"/>
      <c r="M442" s="112"/>
      <c r="N442" s="112"/>
      <c r="O442" s="112"/>
      <c r="P442" s="112"/>
    </row>
    <row r="443" spans="1:16" x14ac:dyDescent="0.3">
      <c r="A443" s="1"/>
      <c r="B443" s="1"/>
      <c r="I443" s="112"/>
      <c r="J443" s="112"/>
      <c r="K443" s="112"/>
      <c r="L443" s="112"/>
      <c r="M443" s="112"/>
      <c r="N443" s="112"/>
      <c r="O443" s="112"/>
      <c r="P443" s="112"/>
    </row>
    <row r="444" spans="1:16" x14ac:dyDescent="0.3">
      <c r="A444" s="1"/>
      <c r="B444" s="1"/>
      <c r="I444" s="112"/>
      <c r="J444" s="112"/>
      <c r="K444" s="112"/>
      <c r="L444" s="112"/>
      <c r="M444" s="112"/>
      <c r="N444" s="112"/>
      <c r="O444" s="112"/>
      <c r="P444" s="112"/>
    </row>
    <row r="445" spans="1:16" x14ac:dyDescent="0.3">
      <c r="A445" s="1"/>
      <c r="B445" s="1"/>
      <c r="I445" s="112"/>
      <c r="J445" s="112"/>
      <c r="K445" s="112"/>
      <c r="L445" s="112"/>
      <c r="M445" s="112"/>
      <c r="N445" s="112"/>
      <c r="O445" s="112"/>
      <c r="P445" s="112"/>
    </row>
    <row r="446" spans="1:16" x14ac:dyDescent="0.3">
      <c r="A446" s="1"/>
      <c r="B446" s="1"/>
      <c r="I446" s="112"/>
      <c r="J446" s="112"/>
      <c r="K446" s="112"/>
      <c r="L446" s="112"/>
      <c r="M446" s="112"/>
      <c r="N446" s="112"/>
      <c r="O446" s="112"/>
      <c r="P446" s="112"/>
    </row>
    <row r="447" spans="1:16" x14ac:dyDescent="0.3">
      <c r="A447" s="1"/>
      <c r="B447" s="1"/>
      <c r="I447" s="112"/>
      <c r="J447" s="112"/>
      <c r="K447" s="112"/>
      <c r="L447" s="112"/>
      <c r="M447" s="112"/>
      <c r="N447" s="112"/>
      <c r="O447" s="112"/>
      <c r="P447" s="112"/>
    </row>
    <row r="448" spans="1:16" x14ac:dyDescent="0.3">
      <c r="A448" s="1"/>
      <c r="B448" s="1"/>
      <c r="I448" s="112"/>
      <c r="J448" s="112"/>
      <c r="K448" s="112"/>
      <c r="L448" s="112"/>
      <c r="M448" s="112"/>
      <c r="N448" s="112"/>
      <c r="O448" s="112"/>
      <c r="P448" s="112"/>
    </row>
    <row r="449" spans="1:16" x14ac:dyDescent="0.3">
      <c r="A449" s="1"/>
      <c r="B449" s="1"/>
      <c r="I449" s="112"/>
      <c r="J449" s="112"/>
      <c r="K449" s="112"/>
      <c r="L449" s="112"/>
      <c r="M449" s="112"/>
      <c r="N449" s="112"/>
      <c r="O449" s="112"/>
      <c r="P449" s="1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Histórico</vt:lpstr>
      <vt:lpstr>WACC</vt:lpstr>
      <vt:lpstr>Model</vt:lpstr>
      <vt:lpstr>WACC!Print_Titles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M&amp;A na Prática</cp:keywords>
  <cp:lastModifiedBy/>
  <dcterms:created xsi:type="dcterms:W3CDTF">2015-06-05T18:17:20Z</dcterms:created>
  <dcterms:modified xsi:type="dcterms:W3CDTF">2025-12-10T12:09:55Z</dcterms:modified>
</cp:coreProperties>
</file>